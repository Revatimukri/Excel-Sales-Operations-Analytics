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vat\Downloads\"/>
    </mc:Choice>
  </mc:AlternateContent>
  <xr:revisionPtr revIDLastSave="0" documentId="8_{33E8A20C-2778-4954-8D11-2825F0336B53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1" l="1" a="1"/>
  <c r="E8" i="11" s="1"/>
  <c r="E9" i="11"/>
  <c r="E7" i="11" a="1"/>
  <c r="E7" i="11" s="1"/>
  <c r="E6" i="11"/>
  <c r="E5" i="1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9" i="10" a="1"/>
  <c r="E9" i="10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E8" i="10"/>
  <c r="E7" i="10"/>
  <c r="E5" i="10"/>
  <c r="E10" i="9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E7" i="9" s="1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N2" i="2"/>
  <c r="L2" i="2"/>
  <c r="E8" i="9" a="1"/>
  <c r="E8" i="9" s="1"/>
  <c r="E9" i="9" a="1"/>
  <c r="E9" i="9" s="1"/>
  <c r="A2" i="9" a="1"/>
  <c r="A2" i="9" s="1"/>
  <c r="E6" i="9"/>
  <c r="E5" i="9"/>
  <c r="E10" i="8"/>
  <c r="E9" i="8" a="1"/>
  <c r="E9" i="8" s="1"/>
  <c r="E8" i="8" a="1"/>
  <c r="E8" i="8" s="1"/>
  <c r="E7" i="8" a="1"/>
  <c r="E7" i="8" s="1"/>
  <c r="E6" i="8" a="1"/>
  <c r="E6" i="8" s="1"/>
  <c r="E5" i="8"/>
  <c r="E12" i="7"/>
  <c r="E11" i="7"/>
  <c r="E10" i="7"/>
  <c r="E9" i="7"/>
  <c r="E8" i="7"/>
  <c r="E7" i="7"/>
  <c r="E6" i="7"/>
  <c r="E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<sst xmlns="http://schemas.openxmlformats.org/spreadsheetml/2006/main" count="13830" uniqueCount="3030">
  <si>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</si>
  <si>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</si>
  <si>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</si>
  <si>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</si>
  <si>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</si>
  <si>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</si>
  <si>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</si>
  <si>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</si>
  <si>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</si>
  <si>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</si>
  <si>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</si>
  <si>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</si>
  <si>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</si>
  <si>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</si>
  <si>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</si>
  <si>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</si>
  <si>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</si>
  <si>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</si>
  <si>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</si>
  <si>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</si>
  <si>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</si>
  <si>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</si>
  <si>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</si>
  <si>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</si>
  <si>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</si>
  <si>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</si>
  <si>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</si>
  <si>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</si>
  <si>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</si>
  <si>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</si>
  <si>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</si>
  <si>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</si>
  <si>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</si>
  <si>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</si>
  <si>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</si>
  <si>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</si>
  <si>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</si>
  <si>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</si>
  <si>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</si>
  <si>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</si>
  <si>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</si>
  <si>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</si>
  <si>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</si>
  <si>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</si>
  <si>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</si>
  <si>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</si>
  <si>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</si>
  <si>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</si>
  <si>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</si>
  <si>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</si>
  <si>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</si>
  <si>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</si>
  <si>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</si>
  <si>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</si>
  <si>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</si>
  <si>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</si>
  <si>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</si>
  <si>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</si>
  <si>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</si>
  <si>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</si>
  <si>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</si>
  <si>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</si>
  <si>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</si>
  <si>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</si>
  <si>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</si>
  <si>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</si>
  <si>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</si>
  <si>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</si>
  <si>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</si>
  <si>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</si>
  <si>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</si>
  <si>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</si>
  <si>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</si>
  <si>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</si>
  <si>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</si>
  <si>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</si>
  <si>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</si>
  <si>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</si>
  <si>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</si>
  <si>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</si>
  <si>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</si>
  <si>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</si>
  <si>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</si>
  <si>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</si>
  <si>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</si>
  <si>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</si>
  <si>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</si>
  <si>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</si>
  <si>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</si>
  <si>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</si>
  <si>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</si>
  <si>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</si>
  <si>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</si>
  <si>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</si>
  <si>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</si>
  <si>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</si>
  <si>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</si>
  <si>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</si>
  <si>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</si>
  <si>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</si>
  <si>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</si>
  <si>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</si>
  <si>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</si>
  <si>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</si>
  <si>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</si>
  <si>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</si>
  <si>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</si>
  <si>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</si>
  <si>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</si>
  <si>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</si>
  <si>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</si>
  <si>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</si>
  <si>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</si>
  <si>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</si>
  <si>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</si>
  <si>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</si>
  <si>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</si>
  <si>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</si>
  <si>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</si>
  <si>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</si>
  <si>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</si>
  <si>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</si>
  <si>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</si>
  <si>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</si>
  <si>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</si>
  <si>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</si>
  <si>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</si>
  <si>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</si>
  <si>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</si>
  <si>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</si>
  <si>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</si>
  <si>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</si>
  <si>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</si>
  <si>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</si>
  <si>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</si>
  <si>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</si>
  <si>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</si>
  <si>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</si>
  <si>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</si>
  <si>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</si>
  <si>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</si>
  <si>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</si>
  <si>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</si>
  <si>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</si>
  <si>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</si>
  <si>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</si>
  <si>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</si>
  <si>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</si>
  <si>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</si>
  <si>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</si>
  <si>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</si>
  <si>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</si>
  <si>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</si>
  <si>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</si>
  <si>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</si>
  <si>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</si>
  <si>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</si>
  <si>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</si>
  <si>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</si>
  <si>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</si>
  <si>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</si>
  <si>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</si>
  <si>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</si>
  <si>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</si>
  <si>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</si>
  <si>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</si>
  <si>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</si>
  <si>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</si>
  <si>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</si>
  <si>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</si>
  <si>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</si>
  <si>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</si>
  <si>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</si>
  <si>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</si>
  <si>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</si>
  <si>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</si>
  <si>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</si>
  <si>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</si>
  <si>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</si>
  <si>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</si>
  <si>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</si>
  <si>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</si>
  <si>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</si>
  <si>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</si>
  <si>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</si>
  <si>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</si>
  <si>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</si>
  <si>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</si>
  <si>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</si>
  <si>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</si>
  <si>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</si>
  <si>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</si>
  <si>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</si>
  <si>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</si>
  <si>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</si>
  <si>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</si>
  <si>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</si>
  <si>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</si>
  <si>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</si>
  <si>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</si>
  <si>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</si>
  <si>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</si>
  <si>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</si>
  <si>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</si>
  <si>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</si>
  <si>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</si>
  <si>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</si>
  <si>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</si>
  <si>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</si>
  <si>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</si>
  <si>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</si>
  <si>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</si>
  <si>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</si>
  <si>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</si>
  <si>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</si>
  <si>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</si>
  <si>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</si>
  <si>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</si>
  <si>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</si>
  <si>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</si>
  <si>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</si>
  <si>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</si>
  <si>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</si>
  <si>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</si>
  <si>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</si>
  <si>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</si>
  <si>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</si>
  <si>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</si>
  <si>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</si>
  <si>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</si>
  <si>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</si>
  <si>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</si>
  <si>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</si>
  <si>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</si>
  <si>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</si>
  <si>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</si>
  <si>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</si>
  <si>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</si>
  <si>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</si>
  <si>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</si>
  <si>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</si>
  <si>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</si>
  <si>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</si>
  <si>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</si>
  <si>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</si>
  <si>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</si>
  <si>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</si>
  <si>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</si>
  <si>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</si>
  <si>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</si>
  <si>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</si>
  <si>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</si>
  <si>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</si>
  <si>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</si>
  <si>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</si>
  <si>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</si>
  <si>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</si>
  <si>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</si>
  <si>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</si>
  <si>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</si>
  <si>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</si>
  <si>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</si>
  <si>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</si>
  <si>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</si>
  <si>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</si>
  <si>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</si>
  <si>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</si>
  <si>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</si>
  <si>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</si>
  <si>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</si>
  <si>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</si>
  <si>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</si>
  <si>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</si>
  <si>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</si>
  <si>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</si>
  <si>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</si>
  <si>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</si>
  <si>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</si>
  <si>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</si>
  <si>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</si>
  <si>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</si>
  <si>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</si>
  <si>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</si>
  <si>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</si>
  <si>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</si>
  <si>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</si>
  <si>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</si>
  <si>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</si>
  <si>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</si>
  <si>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</si>
  <si>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</si>
  <si>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</si>
  <si>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</si>
  <si>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</si>
  <si>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</si>
  <si>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</si>
  <si>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</si>
  <si>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</si>
  <si>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</si>
  <si>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</si>
  <si>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</si>
  <si>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</si>
  <si>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</si>
  <si>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</si>
  <si>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</si>
  <si>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</si>
  <si>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</si>
  <si>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</si>
  <si>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</si>
  <si>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</si>
  <si>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</si>
  <si>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</si>
  <si>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</si>
  <si>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</si>
  <si>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</si>
  <si>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</si>
  <si>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</si>
  <si>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</si>
  <si>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</si>
  <si>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</si>
  <si>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</si>
  <si>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</si>
  <si>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</si>
  <si>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</si>
  <si>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</si>
  <si>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</si>
  <si>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</si>
  <si>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</si>
  <si>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</si>
  <si>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</si>
  <si>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</si>
  <si>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</si>
  <si>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</si>
  <si>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</si>
  <si>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</si>
  <si>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</si>
  <si>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</si>
  <si>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</si>
  <si>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</si>
  <si>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</si>
  <si>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</si>
  <si>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</si>
  <si>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</si>
  <si>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</si>
  <si>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</si>
  <si>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</si>
  <si>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</si>
  <si>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</si>
  <si>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</si>
  <si>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</si>
  <si>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</si>
  <si>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</si>
  <si>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</si>
  <si>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</si>
  <si>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</si>
  <si>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</si>
  <si>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</si>
  <si>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</si>
  <si>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</si>
  <si>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</si>
  <si>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</si>
  <si>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</si>
  <si>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</si>
  <si>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</si>
  <si>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</si>
  <si>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</si>
  <si>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</si>
  <si>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</si>
  <si>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</si>
  <si>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</si>
  <si>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</si>
  <si>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</si>
  <si>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</si>
  <si>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</si>
  <si>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</si>
  <si>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</si>
  <si>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</si>
  <si>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</si>
  <si>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</si>
  <si>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</si>
  <si>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</si>
  <si>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</si>
  <si>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</si>
  <si>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</si>
  <si>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</si>
  <si>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</si>
  <si>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</si>
  <si>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</si>
  <si>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</si>
  <si>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</si>
  <si>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</si>
  <si>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</si>
  <si>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</si>
  <si>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</si>
  <si>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</si>
  <si>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</si>
  <si>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</si>
  <si>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</si>
  <si>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</si>
  <si>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</si>
  <si>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</si>
  <si>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</si>
  <si>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</si>
  <si>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</si>
  <si>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</si>
  <si>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</si>
  <si>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</si>
  <si>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</si>
  <si>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</si>
  <si>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</si>
  <si>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</si>
  <si>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</si>
  <si>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</si>
  <si>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</si>
  <si>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</si>
  <si>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</si>
  <si>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</si>
  <si>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</si>
  <si>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</si>
  <si>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</si>
  <si>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</si>
  <si>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</si>
  <si>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</si>
  <si>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</si>
  <si>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</si>
  <si>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</si>
  <si>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</si>
  <si>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</si>
  <si>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</si>
  <si>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</si>
  <si>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</si>
  <si>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</si>
  <si>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</si>
  <si>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</si>
  <si>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</si>
  <si>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</si>
  <si>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</si>
  <si>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</si>
  <si>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</si>
  <si>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</si>
  <si>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</si>
  <si>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</si>
  <si>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</si>
  <si>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</si>
  <si>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</si>
  <si>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</si>
  <si>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</si>
  <si>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</si>
  <si>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</si>
  <si>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</si>
  <si>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</si>
  <si>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</si>
  <si>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</si>
  <si>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</si>
  <si>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</si>
  <si>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</si>
  <si>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</si>
  <si>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</si>
  <si>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</si>
  <si>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</si>
  <si>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</si>
  <si>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</si>
  <si>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</si>
  <si>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</si>
  <si>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</si>
  <si>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</si>
  <si>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</si>
  <si>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</si>
  <si>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</si>
  <si>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</si>
  <si>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</si>
  <si>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</si>
  <si>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</si>
  <si>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</si>
  <si>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</si>
  <si>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</si>
  <si>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</si>
  <si>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</si>
  <si>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</si>
  <si>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</si>
  <si>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</si>
  <si>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</si>
  <si>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</si>
  <si>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</si>
  <si>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</si>
  <si>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</si>
  <si>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</si>
  <si>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</si>
  <si>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</si>
  <si>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</si>
  <si>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</si>
  <si>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</si>
  <si>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</si>
  <si>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</si>
  <si>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</si>
  <si>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</si>
  <si>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</si>
  <si>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</si>
  <si>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</si>
  <si>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</si>
  <si>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</si>
  <si>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</si>
  <si>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</si>
  <si>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</si>
  <si>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</si>
  <si>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</si>
  <si>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</si>
  <si>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</si>
  <si>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</si>
  <si>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</si>
  <si>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</si>
  <si>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</si>
  <si>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</si>
  <si>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</si>
  <si>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</si>
  <si>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</si>
  <si>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</si>
  <si>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</si>
  <si>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</si>
  <si>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</si>
  <si>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</si>
  <si>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</si>
  <si>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</si>
  <si>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</si>
  <si>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</si>
  <si>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</si>
  <si>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</si>
  <si>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</si>
  <si>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</si>
  <si>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</si>
  <si>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</si>
  <si>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</si>
  <si>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</si>
  <si>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</si>
  <si>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</si>
  <si>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</si>
  <si>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</si>
  <si>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</si>
  <si>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</si>
  <si>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</si>
  <si>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</si>
  <si>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</si>
  <si>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</si>
  <si>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</si>
  <si>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</si>
  <si>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</si>
  <si>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</si>
  <si>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</si>
  <si>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</si>
  <si>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</si>
  <si>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</si>
  <si>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</si>
  <si>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</si>
  <si>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</si>
  <si>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</si>
  <si>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</si>
  <si>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</si>
  <si>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</si>
  <si>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</si>
  <si>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</si>
  <si>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</si>
  <si>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</si>
  <si>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</si>
  <si>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</si>
  <si>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</si>
  <si>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</si>
  <si>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</si>
  <si>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</si>
  <si>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</si>
  <si>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</si>
  <si>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</si>
  <si>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</si>
  <si>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</si>
  <si>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</si>
  <si>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</si>
  <si>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</si>
  <si>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</si>
  <si>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</si>
  <si>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</si>
  <si>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</si>
  <si>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</si>
  <si>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</si>
  <si>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</si>
  <si>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</si>
  <si>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</si>
  <si>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</si>
  <si>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</si>
  <si>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</si>
  <si>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</si>
  <si>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</si>
  <si>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</si>
  <si>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</si>
  <si>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</si>
  <si>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</si>
  <si>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</si>
  <si>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</si>
  <si>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</si>
  <si>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</si>
  <si>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</si>
  <si>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</si>
  <si>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</si>
  <si>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</si>
  <si>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</si>
  <si>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</si>
  <si>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</si>
  <si>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</si>
  <si>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</si>
  <si>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</si>
  <si>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</si>
  <si>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</si>
  <si>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</si>
  <si>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</si>
  <si>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</si>
  <si>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</si>
  <si>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</si>
  <si>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</si>
  <si>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</si>
  <si>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</si>
  <si>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</si>
  <si>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</si>
  <si>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</si>
  <si>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</si>
  <si>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</si>
  <si>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</si>
  <si>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</si>
  <si>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</si>
  <si>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</si>
  <si>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</si>
  <si>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</si>
  <si>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</si>
  <si>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</si>
  <si>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</si>
  <si>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</si>
  <si>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</si>
  <si>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</si>
  <si>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</si>
  <si>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</si>
  <si>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</si>
  <si>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</si>
  <si>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</si>
  <si>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</si>
  <si>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</si>
  <si>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</si>
  <si>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</si>
  <si>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</si>
  <si>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</si>
  <si>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</si>
  <si>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</si>
  <si>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</si>
  <si>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</si>
  <si>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</si>
  <si>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</si>
  <si>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</si>
  <si>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</si>
  <si>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</si>
  <si>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</si>
  <si>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</si>
  <si>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</si>
  <si>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</si>
  <si>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</si>
  <si>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</si>
  <si>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</si>
  <si>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</si>
  <si>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</si>
  <si>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</si>
  <si>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</si>
  <si>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</si>
  <si>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</si>
  <si>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</si>
  <si>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</si>
  <si>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</si>
  <si>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</si>
  <si>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</si>
  <si>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</si>
  <si>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</si>
  <si>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</si>
  <si>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</si>
  <si>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</si>
  <si>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</si>
  <si>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</si>
  <si>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</si>
  <si>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</si>
  <si>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</si>
  <si>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</si>
  <si>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</si>
  <si>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</si>
  <si>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</si>
  <si>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</si>
  <si>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</si>
  <si>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</si>
  <si>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</si>
  <si>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</si>
  <si>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</si>
  <si>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</si>
  <si>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</si>
  <si>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</si>
  <si>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</si>
  <si>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</si>
  <si>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</si>
  <si>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</si>
  <si>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</si>
  <si>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</si>
  <si>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</si>
  <si>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</si>
  <si>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</si>
  <si>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</si>
  <si>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</si>
  <si>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</si>
  <si>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</si>
  <si>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</si>
  <si>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</si>
  <si>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</si>
  <si>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</si>
  <si>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</si>
  <si>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</si>
  <si>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</si>
  <si>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</si>
  <si>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</si>
  <si>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</si>
  <si>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</si>
  <si>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</si>
  <si>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</si>
  <si>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</si>
  <si>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</si>
  <si>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</si>
  <si>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</si>
  <si>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</si>
  <si>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</si>
  <si>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</si>
  <si>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</si>
  <si>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</si>
  <si>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</si>
  <si>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</si>
  <si>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</si>
  <si>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</si>
  <si>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</si>
  <si>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</si>
  <si>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</si>
  <si>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</si>
  <si>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</si>
  <si>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</si>
  <si>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</si>
  <si>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</si>
  <si>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</si>
  <si>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</si>
  <si>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</si>
  <si>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</si>
  <si>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</si>
  <si>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</si>
  <si>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</si>
  <si>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</si>
  <si>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</si>
  <si>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</si>
  <si>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</si>
  <si>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</si>
  <si>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</si>
  <si>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</si>
  <si>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</si>
  <si>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</si>
  <si>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</si>
  <si>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</si>
  <si>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</si>
  <si>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</si>
  <si>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</si>
  <si>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</si>
  <si>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</si>
  <si>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</si>
  <si>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</si>
  <si>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</si>
  <si>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</si>
  <si>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</si>
  <si>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</si>
  <si>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</si>
  <si>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</si>
  <si>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</si>
  <si>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</si>
  <si>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</si>
  <si>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</si>
  <si>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</si>
  <si>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</si>
  <si>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</si>
  <si>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</si>
  <si>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</si>
  <si>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</si>
  <si>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</si>
  <si>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</si>
  <si>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</si>
  <si>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</si>
  <si>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</si>
  <si>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</si>
  <si>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</si>
  <si>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</si>
  <si>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</si>
  <si>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</si>
  <si>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</si>
  <si>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</si>
  <si>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</si>
  <si>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</si>
  <si>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</si>
  <si>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</si>
  <si>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</si>
  <si>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</si>
  <si>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</si>
  <si>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</si>
  <si>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</si>
  <si>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</si>
  <si>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</si>
  <si>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</si>
  <si>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</si>
  <si>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</si>
  <si>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</si>
  <si>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</si>
  <si>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</si>
  <si>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</si>
  <si>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</si>
  <si>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</si>
  <si>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</si>
  <si>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</si>
  <si>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</si>
  <si>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</si>
  <si>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</si>
  <si>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</si>
  <si>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</si>
  <si>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</si>
  <si>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</si>
  <si>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</si>
  <si>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</si>
  <si>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</si>
  <si>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</si>
  <si>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</si>
  <si>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</si>
  <si>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</si>
  <si>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</si>
  <si>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</si>
  <si>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</si>
  <si>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</si>
  <si>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</si>
  <si>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</si>
  <si>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</si>
  <si>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</si>
  <si>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</si>
  <si>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</si>
  <si>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</si>
  <si>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</si>
  <si>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</si>
  <si>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</si>
  <si>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</si>
  <si>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</si>
  <si>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</si>
  <si>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</si>
  <si>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</si>
  <si>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</si>
  <si>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</si>
  <si>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</si>
  <si>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</si>
  <si>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</si>
  <si>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</si>
  <si>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</si>
  <si>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</si>
  <si>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</si>
  <si>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</si>
  <si>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</si>
  <si>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</si>
  <si>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</si>
  <si>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</si>
  <si>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</si>
  <si>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</si>
  <si>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</si>
  <si>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</si>
  <si>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</si>
  <si>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</si>
  <si>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</si>
  <si>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</si>
  <si>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</si>
  <si>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</si>
  <si>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</si>
  <si>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</si>
  <si>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</si>
  <si>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</si>
  <si>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</si>
  <si>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</si>
  <si>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</si>
  <si>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</si>
  <si>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</si>
  <si>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</si>
  <si>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</si>
  <si>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</si>
  <si>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</si>
  <si>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</si>
  <si>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</si>
  <si>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</si>
  <si>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</si>
  <si>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</si>
  <si>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</si>
  <si>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</si>
  <si>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</si>
  <si>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</si>
  <si>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</si>
  <si>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</si>
  <si>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</si>
  <si>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</si>
  <si>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</si>
  <si>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</si>
  <si>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</si>
  <si>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</si>
  <si>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</si>
  <si>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</si>
  <si>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</si>
  <si>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</si>
  <si>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</si>
  <si>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</si>
  <si>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</si>
  <si>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</si>
  <si>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</si>
  <si>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</si>
  <si>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</si>
  <si>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</si>
  <si>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</si>
  <si>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</si>
  <si>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</si>
  <si>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</si>
  <si>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</si>
  <si>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</si>
  <si>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</si>
  <si>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</si>
  <si>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</si>
  <si>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</si>
  <si>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</si>
  <si>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</si>
  <si>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</si>
  <si>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</si>
  <si>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</si>
  <si>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</si>
  <si>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</si>
  <si>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</si>
  <si>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</si>
  <si>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</si>
  <si>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</si>
  <si>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</si>
  <si>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</si>
  <si>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</si>
  <si>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</si>
  <si>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</si>
  <si>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</si>
  <si>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</si>
  <si>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</si>
  <si>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</si>
  <si>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</si>
  <si>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</si>
  <si>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</si>
  <si>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</si>
  <si>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</si>
  <si>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</si>
  <si>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</si>
  <si>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</si>
  <si>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</si>
  <si>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</si>
  <si>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</si>
  <si>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</si>
  <si>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</si>
  <si>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</si>
  <si>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</si>
  <si>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</si>
  <si>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</si>
  <si>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</si>
  <si>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</si>
  <si>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</si>
  <si>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</si>
  <si>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</si>
  <si>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</si>
  <si>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</si>
  <si>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</si>
  <si>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</si>
  <si>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</si>
  <si>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</si>
  <si>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</si>
  <si>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</si>
  <si>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</si>
  <si>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</si>
  <si>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</si>
  <si>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</si>
  <si>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</si>
  <si>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</si>
  <si>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</si>
  <si>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</si>
  <si>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</si>
  <si>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</si>
  <si>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</si>
  <si>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</si>
  <si>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</si>
  <si>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</si>
  <si>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</si>
  <si>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</si>
  <si>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</si>
  <si>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</si>
  <si>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</si>
  <si>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</si>
  <si>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</si>
  <si>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</si>
  <si>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</si>
  <si>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</si>
  <si>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</si>
  <si>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</si>
  <si>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</si>
  <si>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</si>
  <si>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</si>
  <si>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</si>
  <si>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</si>
  <si>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</si>
  <si>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</si>
  <si>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</si>
  <si>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</si>
  <si>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</si>
  <si>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</si>
  <si>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</si>
  <si>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</si>
  <si>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</si>
  <si>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</si>
  <si>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</si>
  <si>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</si>
  <si>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</si>
  <si>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</si>
  <si>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</si>
  <si>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</si>
  <si>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</si>
  <si>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</si>
  <si>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</si>
  <si>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</si>
  <si>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</si>
  <si>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</si>
  <si>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</si>
  <si>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</si>
  <si>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</si>
  <si>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</si>
  <si>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</si>
  <si>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</si>
  <si>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</si>
  <si>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</si>
  <si>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</si>
  <si>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</si>
  <si>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</si>
  <si>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</si>
  <si>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</si>
  <si>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</si>
  <si>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</si>
  <si>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</si>
  <si>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</si>
  <si>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</si>
  <si>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</si>
  <si>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</si>
  <si>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</si>
  <si>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</si>
  <si>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</si>
  <si>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</si>
  <si>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</si>
  <si>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</si>
  <si>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</si>
  <si>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</si>
  <si>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</si>
  <si>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</si>
  <si>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</si>
  <si>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</si>
  <si>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</si>
  <si>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</si>
  <si>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</si>
  <si>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</si>
  <si>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</si>
  <si>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</si>
  <si>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</si>
  <si>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</si>
  <si>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</si>
  <si>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</si>
  <si>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</si>
  <si>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</si>
  <si>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</si>
  <si>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</si>
  <si>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</si>
  <si>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</si>
  <si>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</si>
  <si>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</si>
  <si>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</si>
  <si>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</si>
  <si>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</si>
  <si>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</si>
  <si>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</si>
  <si>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</si>
  <si>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</si>
  <si>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</si>
  <si>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</si>
  <si>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</si>
  <si>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</si>
  <si>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</si>
  <si>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</si>
  <si>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</si>
  <si>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</si>
  <si>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</si>
  <si>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</si>
  <si>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</si>
  <si>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</si>
  <si>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</si>
  <si>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</si>
  <si>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</si>
  <si>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</si>
  <si>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</si>
  <si>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</si>
  <si>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</si>
  <si>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</si>
  <si>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</si>
  <si>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</si>
  <si>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</si>
  <si>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</si>
  <si>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</si>
  <si>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</si>
  <si>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</si>
  <si>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</si>
  <si>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</si>
  <si>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</si>
  <si>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</si>
  <si>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</si>
  <si>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</si>
  <si>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</si>
  <si>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</si>
  <si>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</si>
  <si>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</si>
  <si>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</si>
  <si>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</si>
  <si>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</si>
  <si>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</si>
  <si>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</si>
  <si>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</si>
  <si>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</si>
  <si>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</si>
  <si>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</si>
  <si>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</si>
  <si>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</si>
  <si>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</si>
  <si>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</si>
  <si>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</si>
  <si>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</si>
  <si>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</si>
  <si>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</si>
  <si>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</si>
  <si>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</si>
  <si>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</si>
  <si>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</si>
  <si>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</si>
  <si>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</si>
  <si>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</si>
  <si>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</si>
  <si>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</si>
  <si>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</si>
  <si>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</si>
  <si>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</si>
  <si>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</si>
  <si>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</si>
  <si>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</si>
  <si>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</si>
  <si>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</si>
  <si>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</si>
  <si>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</si>
  <si>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</si>
  <si>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</si>
  <si>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</si>
  <si>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</si>
  <si>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</si>
  <si>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</si>
  <si>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</si>
  <si>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</si>
  <si>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</si>
  <si>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</si>
  <si>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</si>
  <si>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</si>
  <si>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</si>
  <si>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</si>
  <si>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</si>
  <si>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</si>
  <si>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</si>
  <si>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</si>
  <si>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</si>
  <si>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</si>
  <si>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</si>
  <si>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</si>
  <si>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</si>
  <si>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</si>
  <si>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</si>
  <si>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</si>
  <si>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</si>
  <si>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</si>
  <si>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</si>
  <si>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</si>
  <si>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</si>
  <si>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</si>
  <si>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</si>
  <si>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</si>
  <si>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</si>
  <si>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</si>
  <si>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</si>
  <si>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</si>
  <si>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</si>
  <si>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</si>
  <si>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</si>
  <si>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</si>
  <si>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</si>
  <si>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</si>
  <si>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</si>
  <si>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</si>
  <si>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</si>
  <si>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</si>
  <si>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</si>
  <si>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</si>
  <si>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</si>
  <si>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</si>
  <si>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</si>
  <si>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</si>
  <si>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</si>
  <si>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</si>
  <si>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</si>
  <si>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</si>
  <si>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</si>
  <si>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</si>
  <si>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</si>
  <si>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</si>
  <si>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</si>
  <si>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</si>
  <si>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</si>
  <si>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</si>
  <si>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</si>
  <si>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</si>
  <si>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</si>
  <si>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</si>
  <si>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</si>
  <si>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</si>
  <si>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</si>
  <si>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</si>
  <si>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</si>
  <si>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</si>
  <si>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</si>
  <si>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</si>
  <si>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</si>
  <si>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</si>
  <si>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</si>
  <si>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</si>
  <si>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</si>
  <si>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</si>
  <si>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</si>
  <si>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</si>
  <si>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</si>
  <si>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</si>
  <si>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</si>
  <si>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</si>
  <si>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</si>
  <si>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</si>
  <si>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</si>
  <si>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</si>
  <si>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</si>
  <si>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</si>
  <si>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</si>
  <si>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</si>
  <si>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</si>
  <si>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</si>
  <si>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</si>
  <si>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</si>
  <si>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</si>
  <si>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</si>
  <si>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</si>
  <si>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</si>
  <si>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</si>
  <si>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</si>
  <si>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</si>
  <si>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</si>
  <si>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</si>
  <si>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</si>
  <si>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</si>
  <si>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</si>
  <si>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</si>
  <si>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</si>
  <si>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</si>
  <si>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</si>
  <si>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</si>
  <si>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</si>
  <si>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</si>
  <si>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</si>
  <si>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</si>
  <si>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</si>
  <si>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</si>
  <si>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</si>
  <si>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</si>
  <si>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</si>
  <si>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</si>
  <si>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</si>
  <si>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</si>
  <si>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</si>
  <si>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</si>
  <si>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</si>
  <si>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</si>
  <si>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</si>
  <si>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</si>
  <si>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</si>
  <si>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</si>
  <si>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</si>
  <si>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</si>
  <si>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</si>
  <si>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</si>
  <si>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</si>
  <si>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</si>
  <si>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</si>
  <si>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</si>
  <si>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</si>
  <si>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</si>
  <si>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</si>
  <si>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</si>
  <si>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</si>
  <si>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</si>
  <si>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</si>
  <si>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</si>
  <si>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</si>
  <si>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</si>
  <si>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</si>
  <si>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</si>
  <si>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</si>
  <si>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</si>
  <si>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</si>
  <si>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</si>
  <si>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</si>
  <si>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</si>
  <si>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</si>
  <si>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</si>
  <si>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</si>
  <si>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</si>
  <si>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</si>
  <si>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</si>
  <si>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</si>
  <si>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</si>
  <si>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</si>
  <si>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</si>
  <si>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</si>
  <si>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</si>
  <si>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</si>
  <si>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</si>
  <si>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</si>
  <si>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</si>
  <si>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</si>
  <si>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</si>
  <si>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</si>
  <si>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</si>
  <si>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</si>
  <si>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</si>
  <si>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</si>
  <si>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</si>
  <si>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</si>
  <si>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</si>
  <si>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</si>
  <si>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</si>
  <si>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</si>
  <si>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</si>
  <si>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</si>
  <si>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</si>
  <si>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</si>
  <si>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</si>
  <si>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</si>
  <si>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</si>
  <si>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</si>
  <si>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</si>
  <si>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</si>
  <si>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</si>
  <si>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</si>
  <si>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</si>
  <si>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</si>
  <si>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</si>
  <si>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</si>
  <si>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</si>
  <si>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</si>
  <si>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</si>
  <si>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</si>
  <si>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</si>
  <si>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</si>
  <si>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</si>
  <si>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</si>
  <si>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</si>
  <si>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</si>
  <si>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</si>
  <si>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</si>
  <si>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</si>
  <si>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</si>
  <si>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</si>
  <si>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</si>
  <si>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</si>
  <si>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</si>
  <si>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</si>
  <si>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</si>
  <si>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</si>
  <si>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</si>
  <si>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</si>
  <si>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</si>
  <si>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</si>
  <si>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</si>
  <si>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</si>
  <si>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</si>
  <si>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</si>
  <si>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</si>
  <si>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</si>
  <si>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</si>
  <si>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</si>
  <si>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</si>
  <si>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</si>
  <si>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</si>
  <si>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</si>
  <si>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</si>
  <si>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</si>
  <si>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</si>
  <si>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</si>
  <si>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</si>
  <si>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</si>
  <si>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</si>
  <si>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</si>
  <si>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</si>
  <si>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</si>
  <si>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</si>
  <si>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</si>
  <si>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</si>
  <si>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</si>
  <si>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</si>
  <si>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</si>
  <si>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</si>
  <si>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</si>
  <si>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</si>
  <si>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</si>
  <si>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</si>
  <si>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</si>
  <si>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</si>
  <si>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</si>
  <si>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</si>
  <si>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</si>
  <si>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</si>
  <si>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</si>
  <si>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</si>
  <si>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</si>
  <si>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</si>
  <si>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</si>
  <si>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</si>
  <si>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</si>
  <si>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</si>
  <si>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</si>
  <si>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</si>
  <si>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</si>
  <si>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</si>
  <si>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</si>
  <si>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</si>
  <si>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</si>
  <si>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</si>
  <si>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</si>
  <si>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</si>
  <si>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</si>
  <si>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</si>
  <si>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</si>
  <si>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</si>
  <si>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</si>
  <si>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</si>
  <si>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</si>
  <si>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</si>
  <si>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</si>
  <si>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</si>
  <si>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</si>
  <si>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</si>
  <si>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</si>
  <si>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</si>
  <si>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</si>
  <si>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</si>
  <si>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</si>
  <si>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</si>
  <si>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</si>
  <si>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</si>
  <si>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</si>
  <si>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</si>
  <si>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</si>
  <si>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</si>
  <si>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</si>
  <si>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</si>
  <si>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</si>
  <si>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</si>
  <si>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</si>
  <si>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</si>
  <si>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</si>
  <si>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</si>
  <si>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</si>
  <si>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</si>
  <si>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</si>
  <si>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</si>
  <si>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</si>
  <si>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</si>
  <si>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</si>
  <si>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</si>
  <si>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</si>
  <si>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</si>
  <si>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</si>
  <si>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</si>
  <si>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</si>
  <si>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</si>
  <si>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</si>
  <si>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</si>
  <si>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</si>
  <si>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</si>
  <si>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</si>
  <si>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</si>
  <si>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</si>
  <si>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</si>
  <si>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</si>
  <si>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</si>
  <si>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</si>
  <si>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</si>
  <si>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</si>
  <si>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</si>
  <si>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</si>
  <si>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</si>
  <si>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</si>
  <si>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</si>
  <si>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</si>
  <si>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</si>
  <si>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</si>
  <si>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</si>
  <si>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</si>
  <si>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</si>
  <si>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</si>
  <si>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</si>
  <si>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</si>
  <si>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</si>
  <si>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</si>
  <si>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</si>
  <si>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</si>
  <si>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</si>
  <si>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</si>
  <si>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</si>
  <si>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</si>
  <si>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</si>
  <si>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</si>
  <si>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</si>
  <si>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</si>
  <si>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</si>
  <si>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</si>
  <si>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</si>
  <si>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</si>
  <si>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</si>
  <si>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</si>
  <si>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</si>
  <si>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</si>
  <si>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</si>
  <si>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</si>
  <si>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</si>
  <si>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</si>
  <si>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</si>
  <si>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</si>
  <si>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</si>
  <si>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</si>
  <si>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</si>
  <si>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</si>
  <si>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</si>
  <si>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</si>
  <si>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</si>
  <si>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</si>
  <si>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</si>
  <si>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</si>
  <si>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</si>
  <si>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</si>
  <si>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</si>
  <si>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</si>
  <si>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</si>
  <si>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</si>
  <si>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</si>
  <si>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</si>
  <si>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</si>
  <si>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</si>
  <si>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</si>
  <si>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</si>
  <si>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</si>
  <si>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</si>
  <si>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</si>
  <si>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</si>
  <si>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</si>
  <si>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</si>
  <si>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</si>
  <si>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</si>
  <si>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</si>
  <si>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</si>
  <si>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</si>
  <si>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</si>
  <si>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</si>
  <si>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</si>
  <si>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</si>
  <si>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</si>
  <si>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</si>
  <si>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</si>
  <si>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</si>
  <si>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</si>
  <si>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</si>
  <si>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</si>
  <si>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</si>
  <si>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</si>
  <si>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</si>
  <si>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</si>
  <si>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</si>
  <si>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</si>
  <si>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</si>
  <si>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</si>
  <si>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</si>
  <si>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</si>
  <si>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</si>
  <si>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</si>
  <si>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</si>
  <si>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</si>
  <si>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</si>
  <si>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</si>
  <si>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</si>
  <si>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</si>
  <si>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</si>
  <si>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</si>
  <si>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</si>
  <si>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</si>
  <si>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</si>
  <si>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</si>
  <si>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</si>
  <si>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</si>
  <si>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</si>
  <si>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</si>
  <si>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</si>
  <si>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</si>
  <si>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</si>
  <si>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</si>
  <si>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</si>
  <si>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</si>
  <si>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</si>
  <si>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</si>
  <si>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</si>
  <si>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</si>
  <si>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</si>
  <si>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</si>
  <si>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</si>
  <si>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</si>
  <si>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</si>
  <si>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</si>
  <si>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</si>
  <si>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</si>
  <si>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</si>
  <si>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</si>
  <si>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</si>
  <si>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</si>
  <si>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</si>
  <si>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</si>
  <si>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</si>
  <si>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</si>
  <si>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</si>
  <si>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</si>
  <si>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</si>
  <si>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</si>
  <si>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</si>
  <si>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</si>
  <si>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</si>
  <si>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</si>
  <si>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</si>
  <si>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</si>
  <si>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</si>
  <si>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</si>
  <si>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</si>
  <si>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</si>
  <si>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</si>
  <si>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</si>
  <si>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</si>
  <si>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</si>
  <si>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</si>
  <si>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</si>
  <si>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</si>
  <si>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</si>
  <si>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</si>
  <si>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</si>
  <si>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</si>
  <si>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</si>
  <si>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</si>
  <si>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</si>
  <si>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</si>
  <si>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</si>
  <si>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</si>
  <si>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</si>
  <si>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</si>
  <si>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</si>
  <si>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</si>
  <si>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</si>
  <si>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</si>
  <si>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</si>
  <si>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</si>
  <si>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</si>
  <si>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</si>
  <si>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</si>
  <si>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</si>
  <si>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</si>
  <si>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</si>
  <si>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</si>
  <si>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</si>
  <si>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</si>
  <si>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</si>
  <si>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</si>
  <si>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</si>
  <si>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</si>
  <si>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</si>
  <si>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</si>
  <si>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</si>
  <si>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</si>
  <si>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</si>
  <si>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</si>
  <si>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</si>
  <si>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</si>
  <si>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</si>
  <si>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</si>
  <si>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</si>
  <si>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</si>
  <si>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</si>
  <si>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</si>
  <si>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</si>
  <si>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</si>
  <si>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</si>
  <si>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</si>
  <si>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</si>
  <si>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</si>
  <si>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</si>
  <si>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</si>
  <si>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</si>
  <si>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</si>
  <si>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</si>
  <si>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</si>
  <si>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</si>
  <si>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</si>
  <si>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</si>
  <si>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</si>
  <si>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</si>
  <si>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</si>
  <si>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</si>
  <si>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</si>
  <si>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</si>
  <si>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</si>
  <si>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</si>
  <si>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</si>
  <si>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</si>
  <si>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</si>
  <si>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</si>
  <si>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</si>
  <si>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</si>
  <si>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</si>
  <si>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</si>
  <si>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</si>
  <si>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</si>
  <si>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</si>
  <si>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</si>
  <si>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</si>
  <si>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</si>
  <si>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</si>
  <si>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</si>
  <si>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</si>
  <si>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</si>
  <si>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</si>
  <si>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</si>
  <si>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</si>
  <si>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</si>
  <si>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</si>
  <si>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</si>
  <si>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</si>
  <si>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</si>
  <si>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</si>
  <si>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</si>
  <si>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</si>
  <si>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</si>
  <si>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</si>
  <si>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</si>
  <si>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</si>
  <si>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</si>
  <si>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</si>
  <si>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</si>
  <si>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</si>
  <si>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</si>
  <si>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</si>
  <si>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</si>
  <si>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</si>
  <si>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</si>
  <si>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</si>
  <si>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</si>
  <si>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</si>
  <si>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</si>
  <si>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</si>
  <si>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</si>
  <si>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</si>
  <si>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</si>
  <si>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</si>
  <si>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</si>
  <si>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</si>
  <si>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</si>
  <si>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</si>
  <si>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</si>
  <si>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</si>
  <si>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</si>
  <si>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</si>
  <si>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</si>
  <si>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</si>
  <si>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</si>
  <si>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</si>
  <si>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</si>
  <si>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</si>
  <si>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</si>
  <si>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</si>
  <si>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</si>
  <si>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</si>
  <si>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</si>
  <si>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</si>
  <si>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</si>
  <si>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</si>
  <si>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</si>
  <si>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</si>
  <si>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</si>
  <si>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</si>
  <si>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</si>
  <si>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</si>
  <si>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</si>
  <si>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</si>
  <si>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</si>
  <si>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</si>
  <si>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</si>
  <si>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</si>
  <si>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</si>
  <si>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</si>
  <si>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</si>
  <si>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</si>
  <si>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</si>
  <si>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</si>
  <si>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</si>
  <si>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</si>
  <si>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</si>
  <si>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</si>
  <si>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</si>
  <si>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</si>
  <si>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</si>
  <si>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</si>
  <si>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</si>
  <si>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</si>
  <si>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</si>
  <si>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</si>
  <si>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</si>
  <si>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</si>
  <si>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</si>
  <si>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</si>
  <si>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</si>
  <si>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</si>
  <si>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</si>
  <si>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</si>
  <si>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</si>
  <si>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</si>
  <si>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</si>
  <si>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</si>
  <si>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</si>
  <si>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</si>
  <si>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</si>
  <si>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</si>
  <si>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</si>
  <si>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</si>
  <si>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</si>
  <si>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</si>
  <si>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</si>
  <si>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</si>
  <si>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</si>
  <si>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</si>
  <si>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</si>
  <si>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</si>
  <si>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</si>
  <si>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</si>
  <si>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</si>
  <si>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</si>
  <si>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</si>
  <si>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</si>
  <si>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</si>
  <si>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</si>
  <si>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</si>
  <si>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</si>
  <si>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</si>
  <si>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</si>
  <si>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</si>
  <si>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</si>
  <si>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</si>
  <si>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</si>
  <si>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</si>
  <si>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</si>
  <si>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</si>
  <si>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</si>
  <si>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</si>
  <si>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</si>
  <si>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</si>
  <si>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</si>
  <si>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</si>
  <si>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</si>
  <si>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</si>
  <si>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</si>
  <si>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</si>
  <si>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</si>
  <si>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</si>
  <si>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</si>
  <si>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</si>
  <si>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</si>
  <si>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</si>
  <si>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</si>
  <si>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</si>
  <si>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</si>
  <si>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</si>
  <si>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</si>
  <si>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</si>
  <si>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</si>
  <si>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</si>
  <si>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</si>
  <si>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</si>
  <si>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</si>
  <si>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</si>
  <si>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</si>
  <si>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</si>
  <si>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</si>
  <si>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</si>
  <si>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</si>
  <si>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</si>
  <si>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</si>
  <si>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</si>
  <si>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</si>
  <si>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</si>
  <si>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</si>
  <si>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</si>
  <si>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</si>
  <si>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</si>
  <si>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</si>
  <si>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</si>
  <si>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</si>
  <si>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</si>
  <si>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</si>
  <si>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</si>
  <si>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</si>
  <si>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</si>
  <si>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</si>
  <si>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</si>
  <si>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</si>
  <si>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</si>
  <si>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</si>
  <si>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</si>
  <si>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</si>
  <si>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</si>
  <si>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</si>
  <si>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</si>
  <si>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</si>
  <si>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</si>
  <si>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</si>
  <si>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</si>
  <si>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</si>
  <si>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</si>
  <si>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</si>
  <si>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</si>
  <si>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</si>
  <si>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</si>
  <si>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</si>
  <si>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</si>
  <si>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</si>
  <si>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</si>
  <si>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</si>
  <si>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</si>
  <si>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</si>
  <si>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</si>
  <si>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</si>
  <si>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</si>
  <si>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</si>
  <si>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</si>
  <si>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</si>
  <si>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</si>
  <si>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</si>
  <si>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</si>
  <si>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</si>
  <si>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</si>
  <si>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</si>
  <si>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</si>
  <si>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</si>
  <si>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</si>
  <si>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</si>
  <si>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</si>
  <si>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</si>
  <si>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</si>
  <si>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</si>
  <si>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</si>
  <si>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</si>
  <si>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</si>
  <si>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</si>
  <si>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</si>
  <si>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</si>
  <si>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</si>
  <si>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</si>
  <si>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</si>
  <si>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</si>
  <si>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</si>
  <si>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</si>
  <si>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</si>
  <si>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</si>
  <si>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</si>
  <si>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</si>
  <si>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</si>
  <si>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</si>
  <si>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</si>
  <si>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</si>
  <si>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</si>
  <si>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</si>
  <si>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</si>
  <si>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</si>
  <si>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</si>
  <si>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</si>
  <si>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</si>
  <si>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</si>
  <si>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</si>
  <si>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</si>
  <si>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</si>
  <si>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</si>
  <si>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</si>
  <si>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</si>
  <si>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</si>
  <si>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</si>
  <si>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</si>
  <si>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</si>
  <si>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</si>
  <si>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</si>
  <si>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</si>
  <si>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</si>
  <si>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</si>
  <si>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</si>
  <si>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</si>
  <si>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</si>
  <si>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</si>
  <si>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</si>
  <si>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</si>
  <si>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</si>
  <si>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</si>
  <si>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</si>
  <si>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</si>
  <si>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</si>
  <si>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</si>
  <si>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</si>
  <si>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</si>
  <si>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</si>
  <si>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</si>
  <si>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</si>
  <si>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</si>
  <si>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</si>
  <si>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</si>
  <si>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</si>
  <si>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</si>
  <si>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</si>
  <si>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</si>
  <si>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</si>
  <si>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</si>
  <si>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</si>
  <si>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</si>
  <si>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</si>
  <si>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</si>
  <si>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</si>
  <si>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</si>
  <si>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</si>
  <si>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</si>
  <si>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</si>
  <si>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</si>
  <si>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</si>
  <si>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</si>
  <si>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</si>
  <si>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</si>
  <si>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</si>
  <si>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</si>
  <si>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</si>
  <si>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</si>
  <si>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</si>
  <si>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</si>
  <si>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</si>
  <si>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</si>
  <si>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</si>
  <si>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</si>
  <si>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</si>
  <si>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</si>
  <si>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</si>
  <si>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</si>
  <si>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</si>
  <si>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</si>
  <si>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</si>
  <si>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</si>
  <si>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</si>
  <si>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</si>
  <si>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</si>
  <si>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</si>
  <si>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</si>
  <si>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</si>
  <si>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</si>
  <si>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</si>
  <si>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</si>
  <si>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</si>
  <si>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</si>
  <si>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</si>
  <si>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</si>
  <si>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</si>
  <si>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</si>
  <si>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</si>
  <si>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</si>
  <si>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</si>
  <si>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</si>
  <si>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</si>
  <si>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</si>
  <si>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</si>
  <si>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</si>
  <si>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</si>
  <si>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</si>
  <si>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</si>
  <si>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</si>
  <si>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</si>
  <si>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</si>
  <si>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</si>
  <si>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</si>
  <si>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</si>
  <si>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</si>
  <si>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</si>
  <si>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</si>
  <si>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</si>
  <si>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</si>
  <si>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</si>
  <si>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</si>
  <si>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</si>
  <si>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</si>
  <si>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</si>
  <si>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</si>
  <si>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</si>
  <si>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</si>
  <si>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</si>
  <si>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</si>
  <si>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</si>
  <si>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</si>
  <si>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</si>
  <si>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</si>
  <si>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</si>
  <si>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</si>
  <si>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</si>
  <si>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</si>
  <si>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</si>
  <si>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</si>
  <si>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</si>
  <si>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</si>
  <si>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</si>
  <si>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</si>
  <si>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</si>
  <si>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</si>
  <si>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</si>
  <si>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</si>
  <si>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</si>
  <si>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</si>
  <si>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</si>
  <si>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</si>
  <si>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</si>
  <si>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</si>
  <si>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</si>
  <si>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</si>
  <si>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</si>
  <si>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</si>
  <si>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</si>
  <si>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</si>
  <si>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</si>
  <si>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</si>
  <si>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</si>
  <si>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</si>
  <si>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</si>
  <si>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</si>
  <si>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</si>
  <si>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</si>
  <si>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</si>
  <si>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</si>
  <si>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</si>
  <si>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</si>
  <si>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</si>
  <si>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</si>
  <si>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</si>
  <si>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</si>
  <si>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</si>
  <si>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</si>
  <si>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</si>
  <si>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</si>
  <si>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</si>
  <si>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</si>
  <si>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</si>
  <si>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</si>
  <si>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</si>
  <si>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</si>
  <si>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</si>
  <si>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</si>
  <si>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</si>
  <si>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</si>
  <si>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</si>
  <si>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</si>
  <si>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</si>
  <si>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</si>
  <si>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</si>
  <si>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</si>
  <si>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</si>
  <si>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</si>
  <si>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</si>
  <si>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</si>
  <si>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</si>
  <si>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</si>
  <si>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</si>
  <si>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</si>
  <si>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</si>
  <si>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</si>
  <si>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</si>
  <si>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</si>
  <si>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</si>
  <si>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</si>
  <si>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</si>
  <si>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</si>
  <si>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</si>
  <si>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</si>
  <si>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</si>
  <si>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</si>
  <si>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</si>
  <si>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</si>
  <si>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</si>
  <si>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</si>
  <si>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</si>
  <si>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</si>
  <si>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</si>
  <si>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</si>
  <si>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</si>
  <si>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</si>
  <si>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</si>
  <si>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</si>
  <si>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</si>
  <si>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</si>
  <si>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</si>
  <si>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</si>
  <si>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</si>
  <si>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</si>
  <si>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</si>
  <si>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</si>
  <si>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</si>
  <si>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</si>
  <si>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</si>
  <si>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</si>
  <si>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</si>
  <si>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</si>
  <si>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</si>
  <si>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</si>
  <si>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</si>
  <si>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</si>
  <si>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</si>
  <si>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</si>
  <si>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</si>
  <si>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</si>
  <si>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</si>
  <si>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</si>
  <si>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</si>
  <si>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</si>
  <si>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</si>
  <si>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</si>
  <si>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</si>
  <si>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</si>
  <si>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</si>
  <si>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</si>
  <si>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</si>
  <si>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</si>
  <si>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</si>
  <si>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</si>
  <si>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</si>
  <si>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</si>
  <si>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</si>
  <si>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</si>
  <si>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</si>
  <si>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</si>
  <si>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</si>
  <si>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</si>
  <si>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</si>
  <si>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</si>
  <si>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</si>
  <si>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</si>
  <si>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</si>
  <si>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</si>
  <si>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</si>
  <si>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</si>
  <si>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</si>
  <si>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</si>
  <si>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</si>
  <si>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</si>
  <si>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</si>
  <si>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</si>
  <si>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</si>
  <si>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</si>
  <si>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</si>
  <si>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</si>
  <si>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</si>
  <si>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</si>
  <si>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</si>
  <si>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</si>
  <si>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</si>
  <si>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</si>
  <si>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</si>
  <si>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</si>
  <si>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</si>
  <si>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</si>
  <si>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</si>
  <si>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</si>
  <si>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</si>
  <si>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</si>
  <si>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</si>
  <si>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</si>
  <si>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</si>
  <si>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</si>
  <si>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</si>
  <si>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</si>
  <si>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</si>
  <si>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</si>
  <si>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</si>
  <si>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</si>
  <si>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</si>
  <si>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</si>
  <si>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</si>
  <si>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</si>
  <si>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</si>
  <si>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</si>
  <si>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</si>
  <si>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</si>
  <si>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</si>
  <si>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</si>
  <si>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</si>
  <si>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</si>
  <si>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</si>
  <si>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</si>
  <si>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</si>
  <si>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</si>
  <si>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</si>
  <si>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</si>
  <si>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</si>
  <si>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</si>
  <si>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</si>
  <si>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</si>
  <si>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</si>
  <si>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</si>
  <si>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</si>
  <si>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</si>
  <si>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</si>
  <si>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</si>
  <si>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</si>
  <si>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</si>
  <si>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</si>
  <si>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</si>
  <si>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</si>
  <si>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</si>
  <si>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</si>
  <si>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</si>
  <si>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</si>
  <si>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</si>
  <si>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</si>
  <si>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</si>
  <si>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</si>
  <si>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</si>
  <si>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</si>
  <si>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</si>
  <si>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</si>
  <si>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</si>
  <si>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</si>
  <si>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</si>
  <si>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</si>
  <si>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</si>
  <si>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</si>
  <si>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</si>
  <si>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</si>
  <si>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</si>
  <si>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</si>
  <si>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</si>
  <si>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</si>
  <si>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</si>
  <si>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</si>
  <si>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</si>
  <si>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</si>
  <si>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</si>
  <si>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</si>
  <si>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</si>
  <si>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</si>
  <si>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</si>
  <si>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</si>
  <si>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</si>
  <si>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</si>
  <si>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</si>
  <si>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</si>
  <si>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</si>
  <si>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</si>
  <si>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</si>
  <si>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</si>
  <si>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</si>
  <si>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</si>
  <si>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</si>
  <si>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</si>
  <si>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</si>
  <si>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</si>
  <si>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</si>
  <si>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</si>
  <si>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</si>
  <si>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</si>
  <si>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</si>
  <si>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</si>
  <si>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</si>
  <si>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</si>
  <si>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</si>
  <si>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</si>
  <si>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</si>
  <si>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</si>
  <si>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</si>
  <si>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</si>
  <si>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</si>
  <si>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</si>
  <si>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</si>
  <si>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</si>
  <si>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</si>
  <si>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</si>
  <si>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</si>
  <si>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</si>
  <si>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</si>
  <si>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</si>
  <si>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</si>
  <si>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</si>
  <si>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</si>
  <si>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</si>
  <si>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</si>
  <si>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</si>
  <si>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</si>
  <si>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</si>
  <si>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</si>
  <si>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</si>
  <si>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</si>
  <si>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</si>
  <si>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</si>
  <si>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</si>
  <si>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</si>
  <si>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</si>
  <si>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</si>
  <si>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</si>
  <si>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</si>
  <si>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</si>
  <si>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</si>
  <si>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</si>
  <si>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</si>
  <si>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</si>
  <si>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</si>
  <si>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</si>
  <si>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</si>
  <si>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</si>
  <si>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</si>
  <si>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</si>
  <si>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</si>
  <si>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</si>
  <si>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</si>
  <si>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</si>
  <si>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</si>
  <si>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</si>
  <si>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</si>
  <si>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</si>
  <si>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</si>
  <si>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</si>
  <si>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</si>
  <si>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</si>
  <si>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</si>
  <si>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</si>
  <si>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</si>
  <si>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</si>
  <si>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</si>
  <si>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</si>
  <si>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</si>
  <si>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</si>
  <si>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</si>
  <si>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</si>
  <si>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</si>
  <si>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</si>
  <si>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</si>
  <si>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</si>
  <si>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</si>
  <si>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</si>
  <si>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</si>
  <si>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</si>
  <si>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</si>
  <si>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</si>
  <si>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</si>
  <si>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</si>
  <si>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</si>
  <si>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</si>
  <si>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</si>
  <si>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</si>
  <si>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</si>
  <si>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</si>
  <si>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</si>
  <si>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</si>
  <si>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</si>
  <si>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</si>
  <si>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</si>
  <si>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</si>
  <si>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</si>
  <si>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</si>
  <si>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</si>
  <si>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</si>
  <si>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</si>
  <si>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</si>
  <si>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</si>
  <si>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</si>
  <si>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</si>
  <si>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</si>
  <si>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</si>
  <si>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</si>
  <si>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</si>
  <si>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</si>
  <si>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</si>
  <si>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</si>
  <si>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</si>
  <si>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</si>
  <si>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</si>
  <si>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</si>
  <si>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</si>
  <si>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</si>
  <si>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</si>
  <si>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</si>
  <si>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</si>
  <si>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</si>
  <si>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</si>
  <si>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</si>
  <si>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</si>
  <si>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</si>
  <si>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</si>
  <si>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</si>
  <si>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</si>
  <si>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</si>
  <si>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</si>
  <si>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</si>
  <si>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</si>
  <si>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</si>
  <si>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</si>
  <si>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</si>
  <si>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</si>
  <si>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</si>
  <si>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</si>
  <si>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</si>
  <si>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</si>
  <si>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</si>
  <si>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</si>
  <si>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</si>
  <si>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</si>
  <si>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</si>
  <si>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</si>
  <si>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</si>
  <si>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</si>
  <si>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</si>
  <si>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</si>
  <si>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</si>
  <si>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</si>
  <si>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</si>
  <si>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</si>
  <si>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</si>
  <si>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</si>
  <si>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</si>
  <si>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</si>
  <si>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</si>
  <si>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</si>
  <si>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</si>
  <si>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</si>
  <si>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</si>
  <si>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</si>
  <si>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</si>
  <si>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</si>
  <si>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</si>
  <si>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</si>
  <si>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</si>
  <si>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</si>
  <si>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</si>
  <si>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</si>
  <si>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</si>
  <si>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</si>
  <si>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</si>
  <si>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</si>
  <si>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</si>
  <si>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</si>
  <si>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</si>
  <si>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</si>
  <si>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</si>
  <si>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</si>
  <si>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</si>
  <si>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</si>
  <si>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</si>
  <si>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</si>
  <si>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</si>
  <si>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</si>
  <si>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</si>
  <si>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</si>
  <si>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</si>
  <si>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</si>
  <si>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</si>
  <si>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</si>
  <si>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</si>
  <si>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</si>
  <si>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</si>
  <si>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</si>
  <si>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</si>
  <si>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</si>
  <si>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</si>
  <si>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</si>
  <si>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</si>
  <si>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</si>
  <si>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</si>
  <si>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</si>
  <si>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</si>
  <si>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</si>
  <si>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</si>
  <si>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</si>
  <si>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</si>
  <si>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</si>
  <si>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</si>
  <si>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</si>
  <si>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</si>
  <si>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</si>
  <si>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</si>
  <si>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</si>
  <si>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</si>
  <si>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</si>
  <si>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</si>
  <si>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</si>
  <si>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</si>
  <si>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</si>
  <si>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</si>
  <si>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</si>
  <si>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</si>
  <si>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</si>
  <si>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</si>
  <si>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</si>
  <si>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</si>
  <si>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</si>
  <si>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</si>
  <si>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</si>
  <si>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</si>
  <si>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</si>
  <si>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</si>
  <si>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</si>
  <si>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</si>
  <si>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</si>
  <si>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</si>
  <si>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</si>
  <si>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</si>
  <si>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</si>
  <si>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</si>
  <si>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</si>
  <si>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</si>
  <si>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</si>
  <si>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</si>
  <si>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</si>
  <si>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</si>
  <si>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</si>
  <si>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</si>
  <si>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</si>
  <si>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</si>
  <si>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</si>
  <si>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</si>
  <si>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</si>
  <si>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</si>
  <si>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</si>
  <si>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</si>
  <si>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</si>
  <si>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</si>
  <si>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</si>
  <si>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</si>
  <si>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</si>
  <si>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</si>
  <si>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</si>
  <si>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</si>
  <si>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</si>
  <si>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</si>
  <si>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</si>
  <si>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</si>
  <si>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</si>
  <si>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</si>
  <si>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</si>
  <si>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</si>
  <si>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</si>
  <si>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</si>
  <si>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</si>
  <si>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</si>
  <si>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</si>
  <si>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</si>
  <si>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</si>
  <si>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</si>
  <si>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</si>
  <si>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</si>
  <si>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</si>
  <si>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</si>
  <si>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</si>
  <si>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</si>
  <si>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</si>
  <si>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</si>
  <si>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</si>
  <si>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</si>
  <si>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</si>
  <si>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</si>
  <si>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</si>
  <si>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</si>
  <si>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</si>
  <si>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</si>
  <si>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</si>
  <si>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</si>
  <si>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</si>
  <si>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</si>
  <si>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</si>
  <si>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</si>
  <si>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</si>
  <si>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</si>
  <si>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</si>
  <si>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</si>
  <si>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</si>
  <si>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</si>
  <si>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</si>
  <si>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</si>
  <si>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</si>
  <si>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</si>
  <si>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</si>
  <si>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</si>
  <si>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</si>
  <si>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</si>
  <si>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</si>
  <si>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</si>
  <si>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</si>
  <si>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</si>
  <si>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</si>
  <si>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</si>
  <si>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</si>
  <si>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</si>
  <si>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</si>
  <si>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</si>
  <si>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</si>
  <si>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</si>
  <si>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</si>
  <si>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</si>
  <si>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</si>
  <si>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</si>
  <si>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</si>
  <si>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</si>
  <si>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</si>
  <si>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</si>
  <si>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</si>
  <si>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</si>
  <si>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</si>
  <si>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</si>
  <si>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</si>
  <si>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</si>
  <si>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</si>
  <si>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</si>
  <si>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</si>
  <si>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</si>
  <si>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</si>
  <si>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</si>
  <si>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</si>
  <si>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</si>
  <si>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</si>
  <si>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</si>
  <si>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</si>
  <si>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</si>
  <si>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</si>
  <si>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</si>
  <si>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</si>
  <si>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</si>
  <si>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</si>
  <si>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</si>
  <si>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</si>
  <si>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</si>
  <si>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</si>
  <si>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</si>
  <si>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</si>
  <si>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</si>
  <si>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</si>
  <si>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</si>
  <si>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</si>
  <si>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</si>
  <si>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</si>
  <si>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</si>
  <si>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</si>
  <si>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</si>
  <si>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</si>
  <si>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</si>
  <si>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</si>
  <si>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</si>
  <si>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</si>
  <si>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</si>
  <si>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</si>
  <si>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</si>
  <si>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</si>
  <si>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</si>
  <si>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</si>
  <si>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</si>
  <si>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</si>
  <si>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</si>
  <si>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</si>
  <si>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</si>
  <si>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</si>
  <si>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</si>
  <si>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</si>
  <si>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</si>
  <si>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</si>
  <si>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</si>
  <si>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</si>
  <si>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</si>
  <si>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</si>
  <si>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</si>
  <si>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</si>
  <si>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</si>
  <si>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</si>
  <si>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</si>
  <si>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</si>
  <si>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</si>
  <si>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</si>
  <si>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</si>
  <si>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</si>
  <si>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</si>
  <si>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</si>
  <si>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</si>
  <si>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</si>
  <si>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</si>
  <si>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</si>
  <si>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</si>
  <si>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</si>
  <si>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</si>
  <si>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</si>
  <si>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</si>
  <si>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</si>
  <si>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</si>
  <si>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</si>
  <si>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</si>
  <si>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</si>
  <si>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</si>
  <si>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</si>
  <si>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</si>
  <si>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</si>
  <si>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</si>
  <si>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</si>
  <si>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</si>
  <si>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</si>
  <si>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</si>
  <si>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</si>
  <si>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</si>
  <si>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</si>
  <si>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</si>
  <si>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</si>
  <si>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</si>
  <si>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</si>
  <si>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</si>
  <si>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</si>
  <si>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</si>
  <si>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</si>
  <si>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</si>
  <si>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</si>
  <si>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</si>
  <si>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</si>
  <si>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</si>
  <si>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</si>
  <si>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</si>
  <si>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</si>
  <si>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</si>
  <si>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</si>
  <si>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</si>
  <si>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</si>
  <si>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</si>
  <si>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</si>
  <si>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</si>
  <si>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</si>
  <si>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</si>
  <si>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</si>
  <si>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</si>
  <si>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</si>
  <si>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</si>
  <si>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</si>
  <si>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</si>
  <si>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</si>
  <si>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</si>
  <si>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</si>
  <si>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</si>
  <si>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</si>
  <si>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</si>
  <si>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</si>
  <si>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</si>
  <si>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</si>
  <si>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</si>
  <si>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</si>
  <si>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</si>
  <si>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</si>
  <si>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</si>
  <si>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</si>
  <si>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</si>
  <si>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</si>
  <si>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</si>
  <si>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</si>
  <si>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</si>
  <si>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</si>
  <si>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</si>
  <si>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</si>
  <si>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</si>
  <si>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</si>
  <si>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</si>
  <si>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</si>
  <si>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</si>
  <si>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</si>
  <si>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</si>
  <si>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</si>
  <si>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</si>
  <si>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</si>
  <si>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</si>
  <si>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</si>
  <si>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</si>
  <si>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</si>
  <si>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</si>
  <si>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</si>
  <si>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</si>
  <si>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</si>
  <si>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</si>
  <si>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</si>
  <si>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</si>
  <si>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</si>
  <si>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</si>
  <si>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</si>
  <si>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</si>
  <si>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</si>
  <si>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</si>
  <si>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</si>
  <si>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</si>
  <si>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</si>
  <si>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</si>
  <si>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</si>
  <si>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</si>
  <si>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</si>
  <si>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</si>
  <si>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</si>
  <si>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</si>
  <si>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</si>
  <si>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</si>
  <si>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</si>
  <si>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</si>
  <si>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</si>
  <si>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</si>
  <si>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</si>
  <si>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</si>
  <si>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</si>
  <si>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</si>
  <si>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</si>
  <si>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</si>
  <si>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</si>
  <si>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</si>
  <si>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</si>
  <si>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</si>
  <si>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</si>
  <si>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</si>
  <si>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</si>
  <si>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</si>
  <si>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</si>
  <si>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</si>
  <si>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</si>
  <si>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</si>
  <si>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</si>
  <si>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</si>
  <si>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</si>
  <si>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</si>
  <si>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</si>
  <si>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</si>
  <si>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</si>
  <si>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</si>
  <si>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</si>
  <si>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</si>
  <si>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</si>
  <si>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</si>
  <si>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</si>
  <si>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</si>
  <si>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</si>
  <si>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</si>
  <si>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</si>
  <si>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</si>
  <si>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</si>
  <si>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</si>
  <si>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</si>
  <si>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</si>
  <si>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</si>
  <si>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</si>
  <si>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</si>
  <si>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</si>
  <si>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</si>
  <si>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</si>
  <si>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</si>
  <si>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</si>
  <si>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</si>
  <si>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</si>
  <si>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</si>
  <si>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</si>
  <si>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</si>
  <si>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</si>
  <si>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</si>
  <si>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</si>
  <si>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</si>
  <si>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</si>
  <si>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</si>
  <si>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</si>
  <si>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</si>
  <si>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</si>
  <si>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</si>
  <si>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</si>
  <si>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</si>
  <si>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</si>
  <si>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</si>
  <si>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</si>
  <si>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</si>
  <si>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</si>
  <si>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</si>
  <si>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</si>
  <si>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</si>
  <si>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</si>
  <si>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</si>
  <si>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</si>
  <si>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</si>
  <si>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</si>
  <si>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</si>
  <si>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</si>
  <si>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</si>
  <si>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</si>
  <si>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</si>
  <si>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</si>
  <si>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</si>
  <si>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Category</t>
  </si>
  <si>
    <t>Product ID</t>
  </si>
  <si>
    <t>profit_margin</t>
  </si>
  <si>
    <t>total_revenue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</si>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</sst>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workbookViewId="0">
      <selection activeCell="A3" sqref="A3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3003</v>
      </c>
    </row>
    <row r="2" spans="1:8" ht="16.8" x14ac:dyDescent="0.3">
      <c r="A2" s="2" t="s">
        <v>3004</v>
      </c>
    </row>
    <row r="3" spans="1:8" x14ac:dyDescent="0.3">
      <c r="A3" s="3" t="s">
        <v>3005</v>
      </c>
    </row>
    <row r="5" spans="1:8" ht="15.6" x14ac:dyDescent="0.3">
      <c r="A5" s="37" t="s">
        <v>0</v>
      </c>
      <c r="B5" s="34"/>
      <c r="C5" s="34"/>
      <c r="D5" s="34"/>
      <c r="E5" s="34"/>
      <c r="F5" s="34"/>
    </row>
    <row r="6" spans="1:8" x14ac:dyDescent="0.3">
      <c r="A6" s="36" t="s">
        <v>1</v>
      </c>
      <c r="B6" s="34"/>
      <c r="C6" s="34"/>
      <c r="D6" s="34"/>
      <c r="E6" s="34"/>
      <c r="F6" s="34"/>
      <c r="G6" s="34"/>
      <c r="H6" s="34"/>
    </row>
    <row r="7" spans="1:8" x14ac:dyDescent="0.3">
      <c r="A7" s="36" t="s">
        <v>3006</v>
      </c>
      <c r="B7" s="34"/>
      <c r="C7" s="34"/>
      <c r="D7" s="34"/>
      <c r="E7" s="34"/>
      <c r="F7" s="34"/>
      <c r="G7" s="34"/>
      <c r="H7" s="34"/>
    </row>
    <row r="8" spans="1:8" x14ac:dyDescent="0.3">
      <c r="A8" s="36" t="s">
        <v>2</v>
      </c>
      <c r="B8" s="34"/>
      <c r="C8" s="34"/>
      <c r="D8" s="34"/>
      <c r="E8" s="34"/>
      <c r="F8" s="34"/>
      <c r="G8" s="34"/>
      <c r="H8" s="34"/>
    </row>
    <row r="9" spans="1:8" x14ac:dyDescent="0.3">
      <c r="A9" s="36"/>
      <c r="B9" s="34"/>
      <c r="C9" s="34"/>
      <c r="D9" s="34"/>
      <c r="E9" s="34"/>
      <c r="F9" s="34"/>
      <c r="G9" s="34"/>
      <c r="H9" s="34"/>
    </row>
    <row r="10" spans="1:8" x14ac:dyDescent="0.3">
      <c r="A10" s="36" t="s">
        <v>3</v>
      </c>
      <c r="B10" s="34"/>
      <c r="C10" s="34"/>
      <c r="D10" s="34"/>
      <c r="E10" s="34"/>
      <c r="F10" s="34"/>
      <c r="G10" s="34"/>
      <c r="H10" s="34"/>
    </row>
    <row r="11" spans="1:8" x14ac:dyDescent="0.3">
      <c r="A11" s="36" t="s">
        <v>3007</v>
      </c>
      <c r="B11" s="34"/>
      <c r="C11" s="34"/>
      <c r="D11" s="34"/>
      <c r="E11" s="34"/>
      <c r="F11" s="34"/>
      <c r="G11" s="34"/>
      <c r="H11" s="34"/>
    </row>
    <row r="12" spans="1:8" x14ac:dyDescent="0.3">
      <c r="A12" s="36" t="s">
        <v>4</v>
      </c>
      <c r="B12" s="34"/>
      <c r="C12" s="34"/>
      <c r="D12" s="34"/>
      <c r="E12" s="34"/>
      <c r="F12" s="34"/>
      <c r="G12" s="34"/>
      <c r="H12" s="34"/>
    </row>
    <row r="14" spans="1:8" ht="15.6" x14ac:dyDescent="0.3">
      <c r="A14" s="4" t="s">
        <v>5</v>
      </c>
    </row>
    <row r="15" spans="1:8" x14ac:dyDescent="0.3">
      <c r="A15" s="36" t="s">
        <v>6</v>
      </c>
      <c r="B15" s="34"/>
      <c r="C15" s="34"/>
      <c r="D15" s="34"/>
      <c r="E15" s="34"/>
      <c r="F15" s="34"/>
      <c r="G15" s="34"/>
      <c r="H15" s="34"/>
    </row>
    <row r="16" spans="1:8" x14ac:dyDescent="0.3">
      <c r="A16" s="36" t="s">
        <v>7</v>
      </c>
      <c r="B16" s="34"/>
      <c r="C16" s="34"/>
      <c r="D16" s="34"/>
      <c r="E16" s="34"/>
      <c r="F16" s="34"/>
      <c r="G16" s="34"/>
      <c r="H16" s="34"/>
    </row>
    <row r="17" spans="1:8" x14ac:dyDescent="0.3">
      <c r="A17" s="36" t="s">
        <v>8</v>
      </c>
      <c r="B17" s="34"/>
      <c r="C17" s="34"/>
      <c r="D17" s="34"/>
      <c r="E17" s="34"/>
      <c r="F17" s="34"/>
      <c r="G17" s="34"/>
      <c r="H17" s="34"/>
    </row>
    <row r="18" spans="1:8" x14ac:dyDescent="0.3">
      <c r="A18" s="36" t="s">
        <v>3008</v>
      </c>
      <c r="B18" s="34"/>
      <c r="C18" s="34"/>
      <c r="D18" s="34"/>
      <c r="E18" s="34"/>
      <c r="F18" s="34"/>
      <c r="G18" s="34"/>
      <c r="H18" s="34"/>
    </row>
    <row r="19" spans="1:8" x14ac:dyDescent="0.3">
      <c r="A19" s="36" t="s">
        <v>9</v>
      </c>
      <c r="B19" s="34"/>
      <c r="C19" s="34"/>
      <c r="D19" s="34"/>
      <c r="E19" s="34"/>
      <c r="F19" s="34"/>
      <c r="G19" s="34"/>
      <c r="H19" s="34"/>
    </row>
    <row r="20" spans="1:8" x14ac:dyDescent="0.3">
      <c r="A20" s="36" t="s">
        <v>3009</v>
      </c>
      <c r="B20" s="34"/>
      <c r="C20" s="34"/>
      <c r="D20" s="34"/>
      <c r="E20" s="34"/>
      <c r="F20" s="34"/>
      <c r="G20" s="34"/>
      <c r="H20" s="34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3010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3011</v>
      </c>
    </row>
    <row r="37" spans="1:4" x14ac:dyDescent="0.3">
      <c r="A37" s="7" t="s">
        <v>44</v>
      </c>
      <c r="B37" s="7" t="s">
        <v>45</v>
      </c>
      <c r="C37" s="8" t="s">
        <v>3012</v>
      </c>
    </row>
    <row r="38" spans="1:4" x14ac:dyDescent="0.3">
      <c r="A38" s="7" t="s">
        <v>46</v>
      </c>
      <c r="B38" s="7" t="s">
        <v>47</v>
      </c>
      <c r="C38" s="8" t="s">
        <v>3013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Q2001"/>
  <sheetViews>
    <sheetView topLeftCell="J1" workbookViewId="0">
      <pane ySplit="1" topLeftCell="A1980" activePane="bottomLeft" state="frozen"/>
      <selection pane="bottomLeft" activeCell="S1996" sqref="S1996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7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t="s">
        <v>3025</v>
      </c>
      <c r="M1" t="s">
        <v>2504</v>
      </c>
      <c r="N1" t="s">
        <v>2851</v>
      </c>
      <c r="O1" t="s">
        <v>2781</v>
      </c>
      <c r="P1" t="s">
        <v>3026</v>
      </c>
      <c r="Q1" t="s">
        <v>3027</v>
      </c>
    </row>
    <row r="2" spans="1:17" x14ac:dyDescent="0.3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  <c r="L2" t="str">
        <f>VLOOKUP(D2, Products!A:C, 3, FALSE)</f>
        <v>Apparel</v>
      </c>
      <c r="M2" t="str">
        <f>IFERROR(VLOOKUP(C2, Customers!A:E, 5, FALSE), "Unknown")</f>
        <v>SMB</v>
      </c>
      <c r="N2" t="str">
        <f>VLOOKUP(E2, Sales_Reps!A:C, 3, FALSE)</f>
        <v>North</v>
      </c>
      <c r="O2">
        <f>VLOOKUP(D2, Products!A:D, 4, FALSE)</f>
        <v>2509</v>
      </c>
      <c r="P2">
        <f>IFERROR(VLOOKUP(C2, Customers!A:C, 3, FALSE), 0)</f>
        <v>44</v>
      </c>
      <c r="Q2">
        <f>(G2 - O2) / G2</f>
        <v>0.3069060773480663</v>
      </c>
    </row>
    <row r="3" spans="1:17" x14ac:dyDescent="0.3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L3" t="str">
        <f>VLOOKUP(D3, Products!A:C, 3, FALSE)</f>
        <v>Apparel</v>
      </c>
      <c r="M3" t="str">
        <f>IFERROR(VLOOKUP(C3, Customers!A:E, 5, FALSE), "Unknown")</f>
        <v>Retail</v>
      </c>
      <c r="N3" t="str">
        <f>VLOOKUP(E3, Sales_Reps!A:C, 3, FALSE)</f>
        <v>North</v>
      </c>
      <c r="O3">
        <f>VLOOKUP(D3, Products!A:D, 4, FALSE)</f>
        <v>391</v>
      </c>
      <c r="P3">
        <f>IFERROR(VLOOKUP(C3, Customers!A:C, 3, FALSE), 0)</f>
        <v>39</v>
      </c>
      <c r="Q3">
        <f t="shared" ref="Q3:Q66" si="0">(G3 - O3) / G3</f>
        <v>0.52317073170731709</v>
      </c>
    </row>
    <row r="4" spans="1:17" x14ac:dyDescent="0.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L4" t="str">
        <f>VLOOKUP(D4, Products!A:C, 3, FALSE)</f>
        <v>Sports</v>
      </c>
      <c r="M4" t="str">
        <f>IFERROR(VLOOKUP(C4, Customers!A:E, 5, FALSE), "Unknown")</f>
        <v>Retail</v>
      </c>
      <c r="N4" t="str">
        <f>VLOOKUP(E4, Sales_Reps!A:C, 3, FALSE)</f>
        <v>South</v>
      </c>
      <c r="O4">
        <f>VLOOKUP(D4, Products!A:D, 4, FALSE)</f>
        <v>302</v>
      </c>
      <c r="P4">
        <f>IFERROR(VLOOKUP(C4, Customers!A:C, 3, FALSE), 0)</f>
        <v>52</v>
      </c>
      <c r="Q4">
        <f t="shared" si="0"/>
        <v>0.35744680851063831</v>
      </c>
    </row>
    <row r="5" spans="1:17" x14ac:dyDescent="0.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L5" t="str">
        <f>VLOOKUP(D5, Products!A:C, 3, FALSE)</f>
        <v>Grocery</v>
      </c>
      <c r="M5" t="str">
        <f>IFERROR(VLOOKUP(C5, Customers!A:E, 5, FALSE), "Unknown")</f>
        <v>Corporate</v>
      </c>
      <c r="N5" t="str">
        <f>VLOOKUP(E5, Sales_Reps!A:C, 3, FALSE)</f>
        <v>North</v>
      </c>
      <c r="O5">
        <f>VLOOKUP(D5, Products!A:D, 4, FALSE)</f>
        <v>2214</v>
      </c>
      <c r="P5">
        <f>IFERROR(VLOOKUP(C5, Customers!A:C, 3, FALSE), 0)</f>
        <v>46</v>
      </c>
      <c r="Q5">
        <f t="shared" si="0"/>
        <v>0.39508196721311473</v>
      </c>
    </row>
    <row r="6" spans="1:17" x14ac:dyDescent="0.3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L6" t="str">
        <f>VLOOKUP(D6, Products!A:C, 3, FALSE)</f>
        <v>Apparel</v>
      </c>
      <c r="M6" t="str">
        <f>IFERROR(VLOOKUP(C6, Customers!A:E, 5, FALSE), "Unknown")</f>
        <v>Retail</v>
      </c>
      <c r="N6" t="str">
        <f>VLOOKUP(E6, Sales_Reps!A:C, 3, FALSE)</f>
        <v>North</v>
      </c>
      <c r="O6">
        <f>VLOOKUP(D6, Products!A:D, 4, FALSE)</f>
        <v>1886</v>
      </c>
      <c r="P6">
        <f>IFERROR(VLOOKUP(C6, Customers!A:C, 3, FALSE), 0)</f>
        <v>36</v>
      </c>
      <c r="Q6">
        <f t="shared" si="0"/>
        <v>0.4031645569620253</v>
      </c>
    </row>
    <row r="7" spans="1:17" x14ac:dyDescent="0.3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L7" t="str">
        <f>VLOOKUP(D7, Products!A:C, 3, FALSE)</f>
        <v>Home</v>
      </c>
      <c r="M7" t="str">
        <f>IFERROR(VLOOKUP(C7, Customers!A:E, 5, FALSE), "Unknown")</f>
        <v>Retail</v>
      </c>
      <c r="N7" t="str">
        <f>VLOOKUP(E7, Sales_Reps!A:C, 3, FALSE)</f>
        <v>West</v>
      </c>
      <c r="O7">
        <f>VLOOKUP(D7, Products!A:D, 4, FALSE)</f>
        <v>288</v>
      </c>
      <c r="P7">
        <f>IFERROR(VLOOKUP(C7, Customers!A:C, 3, FALSE), 0)</f>
        <v>36</v>
      </c>
      <c r="Q7">
        <f t="shared" si="0"/>
        <v>0.22162162162162163</v>
      </c>
    </row>
    <row r="8" spans="1:17" x14ac:dyDescent="0.3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L8" t="str">
        <f>VLOOKUP(D8, Products!A:C, 3, FALSE)</f>
        <v>Sports</v>
      </c>
      <c r="M8" t="str">
        <f>IFERROR(VLOOKUP(C8, Customers!A:E, 5, FALSE), "Unknown")</f>
        <v>Retail</v>
      </c>
      <c r="N8" t="str">
        <f>VLOOKUP(E8, Sales_Reps!A:C, 3, FALSE)</f>
        <v>West</v>
      </c>
      <c r="O8">
        <f>VLOOKUP(D8, Products!A:D, 4, FALSE)</f>
        <v>705</v>
      </c>
      <c r="P8">
        <f>IFERROR(VLOOKUP(C8, Customers!A:C, 3, FALSE), 0)</f>
        <v>27</v>
      </c>
      <c r="Q8">
        <f t="shared" si="0"/>
        <v>0.265625</v>
      </c>
    </row>
    <row r="9" spans="1:17" x14ac:dyDescent="0.3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L9" t="str">
        <f>VLOOKUP(D9, Products!A:C, 3, FALSE)</f>
        <v>Electronics</v>
      </c>
      <c r="M9" t="str">
        <f>IFERROR(VLOOKUP(C9, Customers!A:E, 5, FALSE), "Unknown")</f>
        <v>Corporate</v>
      </c>
      <c r="N9" t="str">
        <f>VLOOKUP(E9, Sales_Reps!A:C, 3, FALSE)</f>
        <v>East</v>
      </c>
      <c r="O9">
        <f>VLOOKUP(D9, Products!A:D, 4, FALSE)</f>
        <v>861</v>
      </c>
      <c r="P9">
        <f>IFERROR(VLOOKUP(C9, Customers!A:C, 3, FALSE), 0)</f>
        <v>57</v>
      </c>
      <c r="Q9">
        <f t="shared" si="0"/>
        <v>0.39790209790209791</v>
      </c>
    </row>
    <row r="10" spans="1:17" x14ac:dyDescent="0.3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  <c r="L10" t="str">
        <f>VLOOKUP(D10, Products!A:C, 3, FALSE)</f>
        <v>Home</v>
      </c>
      <c r="M10" t="str">
        <f>IFERROR(VLOOKUP(C10, Customers!A:E, 5, FALSE), "Unknown")</f>
        <v>Retail</v>
      </c>
      <c r="N10" t="str">
        <f>VLOOKUP(E10, Sales_Reps!A:C, 3, FALSE)</f>
        <v>North</v>
      </c>
      <c r="O10">
        <f>VLOOKUP(D10, Products!A:D, 4, FALSE)</f>
        <v>2549</v>
      </c>
      <c r="P10">
        <f>IFERROR(VLOOKUP(C10, Customers!A:C, 3, FALSE), 0)</f>
        <v>42</v>
      </c>
      <c r="Q10">
        <f t="shared" si="0"/>
        <v>0.53570127504553733</v>
      </c>
    </row>
    <row r="11" spans="1:17" x14ac:dyDescent="0.3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  <c r="L11" t="str">
        <f>VLOOKUP(D11, Products!A:C, 3, FALSE)</f>
        <v>Grocery</v>
      </c>
      <c r="M11" t="str">
        <f>IFERROR(VLOOKUP(C11, Customers!A:E, 5, FALSE), "Unknown")</f>
        <v>Retail</v>
      </c>
      <c r="N11" t="str">
        <f>VLOOKUP(E11, Sales_Reps!A:C, 3, FALSE)</f>
        <v>West</v>
      </c>
      <c r="O11">
        <f>VLOOKUP(D11, Products!A:D, 4, FALSE)</f>
        <v>434</v>
      </c>
      <c r="P11">
        <f>IFERROR(VLOOKUP(C11, Customers!A:C, 3, FALSE), 0)</f>
        <v>56</v>
      </c>
      <c r="Q11">
        <f t="shared" si="0"/>
        <v>0.5525773195876289</v>
      </c>
    </row>
    <row r="12" spans="1:17" x14ac:dyDescent="0.3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  <c r="L12" t="str">
        <f>VLOOKUP(D12, Products!A:C, 3, FALSE)</f>
        <v>Grocery</v>
      </c>
      <c r="M12" t="str">
        <f>IFERROR(VLOOKUP(C12, Customers!A:E, 5, FALSE), "Unknown")</f>
        <v>Retail</v>
      </c>
      <c r="N12" t="str">
        <f>VLOOKUP(E12, Sales_Reps!A:C, 3, FALSE)</f>
        <v>South</v>
      </c>
      <c r="O12">
        <f>VLOOKUP(D12, Products!A:D, 4, FALSE)</f>
        <v>1203</v>
      </c>
      <c r="P12">
        <f>IFERROR(VLOOKUP(C12, Customers!A:C, 3, FALSE), 0)</f>
        <v>60</v>
      </c>
      <c r="Q12">
        <f t="shared" si="0"/>
        <v>0.47004405286343615</v>
      </c>
    </row>
    <row r="13" spans="1:17" x14ac:dyDescent="0.3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  <c r="L13" t="str">
        <f>VLOOKUP(D13, Products!A:C, 3, FALSE)</f>
        <v>Electronics</v>
      </c>
      <c r="M13" t="str">
        <f>IFERROR(VLOOKUP(C13, Customers!A:E, 5, FALSE), "Unknown")</f>
        <v>Retail</v>
      </c>
      <c r="N13" t="str">
        <f>VLOOKUP(E13, Sales_Reps!A:C, 3, FALSE)</f>
        <v>West</v>
      </c>
      <c r="O13">
        <f>VLOOKUP(D13, Products!A:D, 4, FALSE)</f>
        <v>1149</v>
      </c>
      <c r="P13">
        <f>IFERROR(VLOOKUP(C13, Customers!A:C, 3, FALSE), 0)</f>
        <v>56</v>
      </c>
      <c r="Q13">
        <f t="shared" si="0"/>
        <v>0.56477272727272732</v>
      </c>
    </row>
    <row r="14" spans="1:17" x14ac:dyDescent="0.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  <c r="L14" t="str">
        <f>VLOOKUP(D14, Products!A:C, 3, FALSE)</f>
        <v>Electronics</v>
      </c>
      <c r="M14" t="str">
        <f>IFERROR(VLOOKUP(C14, Customers!A:E, 5, FALSE), "Unknown")</f>
        <v>SMB</v>
      </c>
      <c r="N14" t="str">
        <f>VLOOKUP(E14, Sales_Reps!A:C, 3, FALSE)</f>
        <v>North</v>
      </c>
      <c r="O14">
        <f>VLOOKUP(D14, Products!A:D, 4, FALSE)</f>
        <v>1052</v>
      </c>
      <c r="P14">
        <f>IFERROR(VLOOKUP(C14, Customers!A:C, 3, FALSE), 0)</f>
        <v>27</v>
      </c>
      <c r="Q14">
        <f t="shared" si="0"/>
        <v>0.5953846153846154</v>
      </c>
    </row>
    <row r="15" spans="1:17" x14ac:dyDescent="0.3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  <c r="L15" t="str">
        <f>VLOOKUP(D15, Products!A:C, 3, FALSE)</f>
        <v>Home</v>
      </c>
      <c r="M15" t="str">
        <f>IFERROR(VLOOKUP(C15, Customers!A:E, 5, FALSE), "Unknown")</f>
        <v>SMB</v>
      </c>
      <c r="N15" t="str">
        <f>VLOOKUP(E15, Sales_Reps!A:C, 3, FALSE)</f>
        <v>West</v>
      </c>
      <c r="O15">
        <f>VLOOKUP(D15, Products!A:D, 4, FALSE)</f>
        <v>1556</v>
      </c>
      <c r="P15">
        <f>IFERROR(VLOOKUP(C15, Customers!A:C, 3, FALSE), 0)</f>
        <v>39</v>
      </c>
      <c r="Q15">
        <f t="shared" si="0"/>
        <v>0.52123076923076928</v>
      </c>
    </row>
    <row r="16" spans="1:17" x14ac:dyDescent="0.3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  <c r="L16" t="str">
        <f>VLOOKUP(D16, Products!A:C, 3, FALSE)</f>
        <v>Sports</v>
      </c>
      <c r="M16" t="str">
        <f>IFERROR(VLOOKUP(C16, Customers!A:E, 5, FALSE), "Unknown")</f>
        <v>Retail</v>
      </c>
      <c r="N16" t="str">
        <f>VLOOKUP(E16, Sales_Reps!A:C, 3, FALSE)</f>
        <v>North</v>
      </c>
      <c r="O16">
        <f>VLOOKUP(D16, Products!A:D, 4, FALSE)</f>
        <v>147</v>
      </c>
      <c r="P16">
        <f>IFERROR(VLOOKUP(C16, Customers!A:C, 3, FALSE), 0)</f>
        <v>38</v>
      </c>
      <c r="Q16">
        <f t="shared" si="0"/>
        <v>0.22631578947368422</v>
      </c>
    </row>
    <row r="17" spans="1:17" x14ac:dyDescent="0.3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  <c r="L17" t="str">
        <f>VLOOKUP(D17, Products!A:C, 3, FALSE)</f>
        <v>Sports</v>
      </c>
      <c r="M17" t="str">
        <f>IFERROR(VLOOKUP(C17, Customers!A:E, 5, FALSE), "Unknown")</f>
        <v>Retail</v>
      </c>
      <c r="N17" t="str">
        <f>VLOOKUP(E17, Sales_Reps!A:C, 3, FALSE)</f>
        <v>South</v>
      </c>
      <c r="O17">
        <f>VLOOKUP(D17, Products!A:D, 4, FALSE)</f>
        <v>974</v>
      </c>
      <c r="P17">
        <f>IFERROR(VLOOKUP(C17, Customers!A:C, 3, FALSE), 0)</f>
        <v>63</v>
      </c>
      <c r="Q17">
        <f t="shared" si="0"/>
        <v>0.59416666666666662</v>
      </c>
    </row>
    <row r="18" spans="1:17" x14ac:dyDescent="0.3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  <c r="L18" t="str">
        <f>VLOOKUP(D18, Products!A:C, 3, FALSE)</f>
        <v>Grocery</v>
      </c>
      <c r="M18" t="str">
        <f>IFERROR(VLOOKUP(C18, Customers!A:E, 5, FALSE), "Unknown")</f>
        <v>SMB</v>
      </c>
      <c r="N18" t="str">
        <f>VLOOKUP(E18, Sales_Reps!A:C, 3, FALSE)</f>
        <v>East</v>
      </c>
      <c r="O18">
        <f>VLOOKUP(D18, Products!A:D, 4, FALSE)</f>
        <v>2214</v>
      </c>
      <c r="P18">
        <f>IFERROR(VLOOKUP(C18, Customers!A:C, 3, FALSE), 0)</f>
        <v>46</v>
      </c>
      <c r="Q18">
        <f t="shared" si="0"/>
        <v>0.39508196721311473</v>
      </c>
    </row>
    <row r="19" spans="1:17" x14ac:dyDescent="0.3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  <c r="L19" t="str">
        <f>VLOOKUP(D19, Products!A:C, 3, FALSE)</f>
        <v>Beauty</v>
      </c>
      <c r="M19" t="str">
        <f>IFERROR(VLOOKUP(C19, Customers!A:E, 5, FALSE), "Unknown")</f>
        <v>Corporate</v>
      </c>
      <c r="N19" t="str">
        <f>VLOOKUP(E19, Sales_Reps!A:C, 3, FALSE)</f>
        <v>East</v>
      </c>
      <c r="O19">
        <f>VLOOKUP(D19, Products!A:D, 4, FALSE)</f>
        <v>2420</v>
      </c>
      <c r="P19">
        <f>IFERROR(VLOOKUP(C19, Customers!A:C, 3, FALSE), 0)</f>
        <v>32</v>
      </c>
      <c r="Q19">
        <f t="shared" si="0"/>
        <v>0.29855072463768118</v>
      </c>
    </row>
    <row r="20" spans="1:17" x14ac:dyDescent="0.3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  <c r="L20" t="str">
        <f>VLOOKUP(D20, Products!A:C, 3, FALSE)</f>
        <v>Sports</v>
      </c>
      <c r="M20" t="str">
        <f>IFERROR(VLOOKUP(C20, Customers!A:E, 5, FALSE), "Unknown")</f>
        <v>Retail</v>
      </c>
      <c r="N20" t="str">
        <f>VLOOKUP(E20, Sales_Reps!A:C, 3, FALSE)</f>
        <v>East</v>
      </c>
      <c r="O20">
        <f>VLOOKUP(D20, Products!A:D, 4, FALSE)</f>
        <v>2467</v>
      </c>
      <c r="P20">
        <f>IFERROR(VLOOKUP(C20, Customers!A:C, 3, FALSE), 0)</f>
        <v>54</v>
      </c>
      <c r="Q20">
        <f t="shared" si="0"/>
        <v>0.28492753623188405</v>
      </c>
    </row>
    <row r="21" spans="1:17" x14ac:dyDescent="0.3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  <c r="L21" t="str">
        <f>VLOOKUP(D21, Products!A:C, 3, FALSE)</f>
        <v>Home</v>
      </c>
      <c r="M21" t="str">
        <f>IFERROR(VLOOKUP(C21, Customers!A:E, 5, FALSE), "Unknown")</f>
        <v>Retail</v>
      </c>
      <c r="N21" t="str">
        <f>VLOOKUP(E21, Sales_Reps!A:C, 3, FALSE)</f>
        <v>East</v>
      </c>
      <c r="O21">
        <f>VLOOKUP(D21, Products!A:D, 4, FALSE)</f>
        <v>519</v>
      </c>
      <c r="P21">
        <f>IFERROR(VLOOKUP(C21, Customers!A:C, 3, FALSE), 0)</f>
        <v>49</v>
      </c>
      <c r="Q21">
        <f t="shared" si="0"/>
        <v>0.51944444444444449</v>
      </c>
    </row>
    <row r="22" spans="1:17" x14ac:dyDescent="0.3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  <c r="L22" t="str">
        <f>VLOOKUP(D22, Products!A:C, 3, FALSE)</f>
        <v>Apparel</v>
      </c>
      <c r="M22" t="str">
        <f>IFERROR(VLOOKUP(C22, Customers!A:E, 5, FALSE), "Unknown")</f>
        <v>Retail</v>
      </c>
      <c r="N22" t="str">
        <f>VLOOKUP(E22, Sales_Reps!A:C, 3, FALSE)</f>
        <v>North</v>
      </c>
      <c r="O22">
        <f>VLOOKUP(D22, Products!A:D, 4, FALSE)</f>
        <v>1173</v>
      </c>
      <c r="P22">
        <f>IFERROR(VLOOKUP(C22, Customers!A:C, 3, FALSE), 0)</f>
        <v>32</v>
      </c>
      <c r="Q22">
        <f t="shared" si="0"/>
        <v>0.52701612903225803</v>
      </c>
    </row>
    <row r="23" spans="1:17" x14ac:dyDescent="0.3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L23" t="str">
        <f>VLOOKUP(D23, Products!A:C, 3, FALSE)</f>
        <v>Home</v>
      </c>
      <c r="M23" t="str">
        <f>IFERROR(VLOOKUP(C23, Customers!A:E, 5, FALSE), "Unknown")</f>
        <v>Retail</v>
      </c>
      <c r="N23" t="str">
        <f>VLOOKUP(E23, Sales_Reps!A:C, 3, FALSE)</f>
        <v>West</v>
      </c>
      <c r="O23">
        <f>VLOOKUP(D23, Products!A:D, 4, FALSE)</f>
        <v>1556</v>
      </c>
      <c r="P23">
        <f>IFERROR(VLOOKUP(C23, Customers!A:C, 3, FALSE), 0)</f>
        <v>34</v>
      </c>
      <c r="Q23">
        <f t="shared" si="0"/>
        <v>0.52123076923076928</v>
      </c>
    </row>
    <row r="24" spans="1:17" x14ac:dyDescent="0.3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L24" t="str">
        <f>VLOOKUP(D24, Products!A:C, 3, FALSE)</f>
        <v>Apparel</v>
      </c>
      <c r="M24" t="str">
        <f>IFERROR(VLOOKUP(C24, Customers!A:E, 5, FALSE), "Unknown")</f>
        <v>Retail</v>
      </c>
      <c r="N24" t="str">
        <f>VLOOKUP(E24, Sales_Reps!A:C, 3, FALSE)</f>
        <v>West</v>
      </c>
      <c r="O24">
        <f>VLOOKUP(D24, Products!A:D, 4, FALSE)</f>
        <v>1962</v>
      </c>
      <c r="P24">
        <f>IFERROR(VLOOKUP(C24, Customers!A:C, 3, FALSE), 0)</f>
        <v>50</v>
      </c>
      <c r="Q24">
        <f t="shared" si="0"/>
        <v>0.2786764705882353</v>
      </c>
    </row>
    <row r="25" spans="1:17" x14ac:dyDescent="0.3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L25" t="str">
        <f>VLOOKUP(D25, Products!A:C, 3, FALSE)</f>
        <v>Beauty</v>
      </c>
      <c r="M25" t="str">
        <f>IFERROR(VLOOKUP(C25, Customers!A:E, 5, FALSE), "Unknown")</f>
        <v>SMB</v>
      </c>
      <c r="N25" t="str">
        <f>VLOOKUP(E25, Sales_Reps!A:C, 3, FALSE)</f>
        <v>North</v>
      </c>
      <c r="O25">
        <f>VLOOKUP(D25, Products!A:D, 4, FALSE)</f>
        <v>1222</v>
      </c>
      <c r="P25">
        <f>IFERROR(VLOOKUP(C25, Customers!A:C, 3, FALSE), 0)</f>
        <v>40</v>
      </c>
      <c r="Q25">
        <f t="shared" si="0"/>
        <v>0.2593939393939394</v>
      </c>
    </row>
    <row r="26" spans="1:17" x14ac:dyDescent="0.3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L26" t="str">
        <f>VLOOKUP(D26, Products!A:C, 3, FALSE)</f>
        <v>Beauty</v>
      </c>
      <c r="M26" t="str">
        <f>IFERROR(VLOOKUP(C26, Customers!A:E, 5, FALSE), "Unknown")</f>
        <v>Corporate</v>
      </c>
      <c r="N26" t="str">
        <f>VLOOKUP(E26, Sales_Reps!A:C, 3, FALSE)</f>
        <v>East</v>
      </c>
      <c r="O26">
        <f>VLOOKUP(D26, Products!A:D, 4, FALSE)</f>
        <v>1728</v>
      </c>
      <c r="P26">
        <f>IFERROR(VLOOKUP(C26, Customers!A:C, 3, FALSE), 0)</f>
        <v>55</v>
      </c>
      <c r="Q26">
        <f t="shared" si="0"/>
        <v>0.48417910447761192</v>
      </c>
    </row>
    <row r="27" spans="1:17" x14ac:dyDescent="0.3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L27" t="str">
        <f>VLOOKUP(D27, Products!A:C, 3, FALSE)</f>
        <v>Sports</v>
      </c>
      <c r="M27" t="str">
        <f>IFERROR(VLOOKUP(C27, Customers!A:E, 5, FALSE), "Unknown")</f>
        <v>Retail</v>
      </c>
      <c r="N27" t="str">
        <f>VLOOKUP(E27, Sales_Reps!A:C, 3, FALSE)</f>
        <v>East</v>
      </c>
      <c r="O27">
        <f>VLOOKUP(D27, Products!A:D, 4, FALSE)</f>
        <v>516</v>
      </c>
      <c r="P27">
        <f>IFERROR(VLOOKUP(C27, Customers!A:C, 3, FALSE), 0)</f>
        <v>31</v>
      </c>
      <c r="Q27">
        <f t="shared" si="0"/>
        <v>0.4891089108910891</v>
      </c>
    </row>
    <row r="28" spans="1:17" x14ac:dyDescent="0.3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L28" t="str">
        <f>VLOOKUP(D28, Products!A:C, 3, FALSE)</f>
        <v>Beauty</v>
      </c>
      <c r="M28" t="str">
        <f>IFERROR(VLOOKUP(C28, Customers!A:E, 5, FALSE), "Unknown")</f>
        <v>Retail</v>
      </c>
      <c r="N28" t="str">
        <f>VLOOKUP(E28, Sales_Reps!A:C, 3, FALSE)</f>
        <v>North</v>
      </c>
      <c r="O28">
        <f>VLOOKUP(D28, Products!A:D, 4, FALSE)</f>
        <v>2768</v>
      </c>
      <c r="P28">
        <f>IFERROR(VLOOKUP(C28, Customers!A:C, 3, FALSE), 0)</f>
        <v>52</v>
      </c>
      <c r="Q28">
        <f t="shared" si="0"/>
        <v>0.43278688524590164</v>
      </c>
    </row>
    <row r="29" spans="1:17" x14ac:dyDescent="0.3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L29" t="str">
        <f>VLOOKUP(D29, Products!A:C, 3, FALSE)</f>
        <v>Electronics</v>
      </c>
      <c r="M29" t="str">
        <f>IFERROR(VLOOKUP(C29, Customers!A:E, 5, FALSE), "Unknown")</f>
        <v>SMB</v>
      </c>
      <c r="N29" t="str">
        <f>VLOOKUP(E29, Sales_Reps!A:C, 3, FALSE)</f>
        <v>South</v>
      </c>
      <c r="O29">
        <f>VLOOKUP(D29, Products!A:D, 4, FALSE)</f>
        <v>1665</v>
      </c>
      <c r="P29">
        <f>IFERROR(VLOOKUP(C29, Customers!A:C, 3, FALSE), 0)</f>
        <v>52</v>
      </c>
      <c r="Q29">
        <f t="shared" si="0"/>
        <v>0.53361344537815125</v>
      </c>
    </row>
    <row r="30" spans="1:17" x14ac:dyDescent="0.3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L30" t="str">
        <f>VLOOKUP(D30, Products!A:C, 3, FALSE)</f>
        <v>Beauty</v>
      </c>
      <c r="M30" t="str">
        <f>IFERROR(VLOOKUP(C30, Customers!A:E, 5, FALSE), "Unknown")</f>
        <v>Corporate</v>
      </c>
      <c r="N30" t="str">
        <f>VLOOKUP(E30, Sales_Reps!A:C, 3, FALSE)</f>
        <v>East</v>
      </c>
      <c r="O30">
        <f>VLOOKUP(D30, Products!A:D, 4, FALSE)</f>
        <v>2237</v>
      </c>
      <c r="P30">
        <f>IFERROR(VLOOKUP(C30, Customers!A:C, 3, FALSE), 0)</f>
        <v>56</v>
      </c>
      <c r="Q30">
        <f t="shared" si="0"/>
        <v>0.56137254901960787</v>
      </c>
    </row>
    <row r="31" spans="1:17" x14ac:dyDescent="0.3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L31" t="str">
        <f>VLOOKUP(D31, Products!A:C, 3, FALSE)</f>
        <v>Sports</v>
      </c>
      <c r="M31" t="str">
        <f>IFERROR(VLOOKUP(C31, Customers!A:E, 5, FALSE), "Unknown")</f>
        <v>SMB</v>
      </c>
      <c r="N31" t="str">
        <f>VLOOKUP(E31, Sales_Reps!A:C, 3, FALSE)</f>
        <v>North</v>
      </c>
      <c r="O31">
        <f>VLOOKUP(D31, Products!A:D, 4, FALSE)</f>
        <v>2028</v>
      </c>
      <c r="P31">
        <f>IFERROR(VLOOKUP(C31, Customers!A:C, 3, FALSE), 0)</f>
        <v>44</v>
      </c>
      <c r="Q31">
        <f t="shared" si="0"/>
        <v>0.29090909090909089</v>
      </c>
    </row>
    <row r="32" spans="1:17" x14ac:dyDescent="0.3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L32" t="str">
        <f>VLOOKUP(D32, Products!A:C, 3, FALSE)</f>
        <v>Grocery</v>
      </c>
      <c r="M32" t="str">
        <f>IFERROR(VLOOKUP(C32, Customers!A:E, 5, FALSE), "Unknown")</f>
        <v>Corporate</v>
      </c>
      <c r="N32" t="str">
        <f>VLOOKUP(E32, Sales_Reps!A:C, 3, FALSE)</f>
        <v>North</v>
      </c>
      <c r="O32">
        <f>VLOOKUP(D32, Products!A:D, 4, FALSE)</f>
        <v>434</v>
      </c>
      <c r="P32">
        <f>IFERROR(VLOOKUP(C32, Customers!A:C, 3, FALSE), 0)</f>
        <v>47</v>
      </c>
      <c r="Q32">
        <f t="shared" si="0"/>
        <v>0.5525773195876289</v>
      </c>
    </row>
    <row r="33" spans="1:17" x14ac:dyDescent="0.3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L33" t="str">
        <f>VLOOKUP(D33, Products!A:C, 3, FALSE)</f>
        <v>Grocery</v>
      </c>
      <c r="M33" t="str">
        <f>IFERROR(VLOOKUP(C33, Customers!A:E, 5, FALSE), "Unknown")</f>
        <v>Retail</v>
      </c>
      <c r="N33" t="str">
        <f>VLOOKUP(E33, Sales_Reps!A:C, 3, FALSE)</f>
        <v>West</v>
      </c>
      <c r="O33">
        <f>VLOOKUP(D33, Products!A:D, 4, FALSE)</f>
        <v>1435</v>
      </c>
      <c r="P33">
        <f>IFERROR(VLOOKUP(C33, Customers!A:C, 3, FALSE), 0)</f>
        <v>53</v>
      </c>
      <c r="Q33">
        <f t="shared" si="0"/>
        <v>0.48007246376811596</v>
      </c>
    </row>
    <row r="34" spans="1:17" x14ac:dyDescent="0.3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L34" t="str">
        <f>VLOOKUP(D34, Products!A:C, 3, FALSE)</f>
        <v>Home</v>
      </c>
      <c r="M34" t="str">
        <f>IFERROR(VLOOKUP(C34, Customers!A:E, 5, FALSE), "Unknown")</f>
        <v>Corporate</v>
      </c>
      <c r="N34" t="str">
        <f>VLOOKUP(E34, Sales_Reps!A:C, 3, FALSE)</f>
        <v>South</v>
      </c>
      <c r="O34">
        <f>VLOOKUP(D34, Products!A:D, 4, FALSE)</f>
        <v>329</v>
      </c>
      <c r="P34">
        <f>IFERROR(VLOOKUP(C34, Customers!A:C, 3, FALSE), 0)</f>
        <v>32</v>
      </c>
      <c r="Q34">
        <f t="shared" si="0"/>
        <v>0.50151515151515147</v>
      </c>
    </row>
    <row r="35" spans="1:17" x14ac:dyDescent="0.3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L35" t="str">
        <f>VLOOKUP(D35, Products!A:C, 3, FALSE)</f>
        <v>Home</v>
      </c>
      <c r="M35" t="str">
        <f>IFERROR(VLOOKUP(C35, Customers!A:E, 5, FALSE), "Unknown")</f>
        <v>SMB</v>
      </c>
      <c r="N35" t="str">
        <f>VLOOKUP(E35, Sales_Reps!A:C, 3, FALSE)</f>
        <v>East</v>
      </c>
      <c r="O35">
        <f>VLOOKUP(D35, Products!A:D, 4, FALSE)</f>
        <v>1556</v>
      </c>
      <c r="P35">
        <f>IFERROR(VLOOKUP(C35, Customers!A:C, 3, FALSE), 0)</f>
        <v>40</v>
      </c>
      <c r="Q35">
        <f t="shared" si="0"/>
        <v>0.52123076923076928</v>
      </c>
    </row>
    <row r="36" spans="1:17" x14ac:dyDescent="0.3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L36" t="str">
        <f>VLOOKUP(D36, Products!A:C, 3, FALSE)</f>
        <v>Beauty</v>
      </c>
      <c r="M36" t="str">
        <f>IFERROR(VLOOKUP(C36, Customers!A:E, 5, FALSE), "Unknown")</f>
        <v>Retail</v>
      </c>
      <c r="N36" t="str">
        <f>VLOOKUP(E36, Sales_Reps!A:C, 3, FALSE)</f>
        <v>East</v>
      </c>
      <c r="O36">
        <f>VLOOKUP(D36, Products!A:D, 4, FALSE)</f>
        <v>2237</v>
      </c>
      <c r="P36">
        <f>IFERROR(VLOOKUP(C36, Customers!A:C, 3, FALSE), 0)</f>
        <v>26</v>
      </c>
      <c r="Q36">
        <f t="shared" si="0"/>
        <v>0.56137254901960787</v>
      </c>
    </row>
    <row r="37" spans="1:17" x14ac:dyDescent="0.3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L37" t="str">
        <f>VLOOKUP(D37, Products!A:C, 3, FALSE)</f>
        <v>Home</v>
      </c>
      <c r="M37" t="str">
        <f>IFERROR(VLOOKUP(C37, Customers!A:E, 5, FALSE), "Unknown")</f>
        <v>Retail</v>
      </c>
      <c r="N37" t="str">
        <f>VLOOKUP(E37, Sales_Reps!A:C, 3, FALSE)</f>
        <v>East</v>
      </c>
      <c r="O37">
        <f>VLOOKUP(D37, Products!A:D, 4, FALSE)</f>
        <v>519</v>
      </c>
      <c r="P37">
        <f>IFERROR(VLOOKUP(C37, Customers!A:C, 3, FALSE), 0)</f>
        <v>41</v>
      </c>
      <c r="Q37">
        <f t="shared" si="0"/>
        <v>0.51944444444444449</v>
      </c>
    </row>
    <row r="38" spans="1:17" x14ac:dyDescent="0.3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L38" t="str">
        <f>VLOOKUP(D38, Products!A:C, 3, FALSE)</f>
        <v>Home</v>
      </c>
      <c r="M38" t="str">
        <f>IFERROR(VLOOKUP(C38, Customers!A:E, 5, FALSE), "Unknown")</f>
        <v>SMB</v>
      </c>
      <c r="N38" t="str">
        <f>VLOOKUP(E38, Sales_Reps!A:C, 3, FALSE)</f>
        <v>South</v>
      </c>
      <c r="O38">
        <f>VLOOKUP(D38, Products!A:D, 4, FALSE)</f>
        <v>2549</v>
      </c>
      <c r="P38">
        <f>IFERROR(VLOOKUP(C38, Customers!A:C, 3, FALSE), 0)</f>
        <v>36</v>
      </c>
      <c r="Q38">
        <f t="shared" si="0"/>
        <v>0.53570127504553733</v>
      </c>
    </row>
    <row r="39" spans="1:17" x14ac:dyDescent="0.3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L39" t="str">
        <f>VLOOKUP(D39, Products!A:C, 3, FALSE)</f>
        <v>Sports</v>
      </c>
      <c r="M39" t="str">
        <f>IFERROR(VLOOKUP(C39, Customers!A:E, 5, FALSE), "Unknown")</f>
        <v>Retail</v>
      </c>
      <c r="N39" t="str">
        <f>VLOOKUP(E39, Sales_Reps!A:C, 3, FALSE)</f>
        <v>North</v>
      </c>
      <c r="O39">
        <f>VLOOKUP(D39, Products!A:D, 4, FALSE)</f>
        <v>147</v>
      </c>
      <c r="P39">
        <f>IFERROR(VLOOKUP(C39, Customers!A:C, 3, FALSE), 0)</f>
        <v>42</v>
      </c>
      <c r="Q39">
        <f t="shared" si="0"/>
        <v>0.22631578947368422</v>
      </c>
    </row>
    <row r="40" spans="1:17" x14ac:dyDescent="0.3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L40" t="str">
        <f>VLOOKUP(D40, Products!A:C, 3, FALSE)</f>
        <v>Sports</v>
      </c>
      <c r="M40" t="str">
        <f>IFERROR(VLOOKUP(C40, Customers!A:E, 5, FALSE), "Unknown")</f>
        <v>Retail</v>
      </c>
      <c r="N40" t="str">
        <f>VLOOKUP(E40, Sales_Reps!A:C, 3, FALSE)</f>
        <v>South</v>
      </c>
      <c r="O40">
        <f>VLOOKUP(D40, Products!A:D, 4, FALSE)</f>
        <v>974</v>
      </c>
      <c r="P40">
        <f>IFERROR(VLOOKUP(C40, Customers!A:C, 3, FALSE), 0)</f>
        <v>51</v>
      </c>
      <c r="Q40">
        <f t="shared" si="0"/>
        <v>0.59416666666666662</v>
      </c>
    </row>
    <row r="41" spans="1:17" x14ac:dyDescent="0.3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L41" t="str">
        <f>VLOOKUP(D41, Products!A:C, 3, FALSE)</f>
        <v>Beauty</v>
      </c>
      <c r="M41" t="str">
        <f>IFERROR(VLOOKUP(C41, Customers!A:E, 5, FALSE), "Unknown")</f>
        <v>SMB</v>
      </c>
      <c r="N41" t="str">
        <f>VLOOKUP(E41, Sales_Reps!A:C, 3, FALSE)</f>
        <v>East</v>
      </c>
      <c r="O41">
        <f>VLOOKUP(D41, Products!A:D, 4, FALSE)</f>
        <v>1222</v>
      </c>
      <c r="P41">
        <f>IFERROR(VLOOKUP(C41, Customers!A:C, 3, FALSE), 0)</f>
        <v>50</v>
      </c>
      <c r="Q41">
        <f t="shared" si="0"/>
        <v>0.2593939393939394</v>
      </c>
    </row>
    <row r="42" spans="1:17" x14ac:dyDescent="0.3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L42" t="str">
        <f>VLOOKUP(D42, Products!A:C, 3, FALSE)</f>
        <v>Home</v>
      </c>
      <c r="M42" t="str">
        <f>IFERROR(VLOOKUP(C42, Customers!A:E, 5, FALSE), "Unknown")</f>
        <v>Unknown</v>
      </c>
      <c r="N42" t="str">
        <f>VLOOKUP(E42, Sales_Reps!A:C, 3, FALSE)</f>
        <v>North</v>
      </c>
      <c r="O42">
        <f>VLOOKUP(D42, Products!A:D, 4, FALSE)</f>
        <v>2549</v>
      </c>
      <c r="P42">
        <f>IFERROR(VLOOKUP(C42, Customers!A:C, 3, FALSE), 0)</f>
        <v>0</v>
      </c>
      <c r="Q42">
        <f t="shared" si="0"/>
        <v>0.53570127504553733</v>
      </c>
    </row>
    <row r="43" spans="1:17" x14ac:dyDescent="0.3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L43" t="str">
        <f>VLOOKUP(D43, Products!A:C, 3, FALSE)</f>
        <v>Beauty</v>
      </c>
      <c r="M43" t="str">
        <f>IFERROR(VLOOKUP(C43, Customers!A:E, 5, FALSE), "Unknown")</f>
        <v>Retail</v>
      </c>
      <c r="N43" t="str">
        <f>VLOOKUP(E43, Sales_Reps!A:C, 3, FALSE)</f>
        <v>South</v>
      </c>
      <c r="O43">
        <f>VLOOKUP(D43, Products!A:D, 4, FALSE)</f>
        <v>2768</v>
      </c>
      <c r="P43">
        <f>IFERROR(VLOOKUP(C43, Customers!A:C, 3, FALSE), 0)</f>
        <v>53</v>
      </c>
      <c r="Q43">
        <f t="shared" si="0"/>
        <v>0.43278688524590164</v>
      </c>
    </row>
    <row r="44" spans="1:17" x14ac:dyDescent="0.3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  <c r="L44" t="str">
        <f>VLOOKUP(D44, Products!A:C, 3, FALSE)</f>
        <v>Home</v>
      </c>
      <c r="M44" t="str">
        <f>IFERROR(VLOOKUP(C44, Customers!A:E, 5, FALSE), "Unknown")</f>
        <v>Retail</v>
      </c>
      <c r="N44" t="str">
        <f>VLOOKUP(E44, Sales_Reps!A:C, 3, FALSE)</f>
        <v>East</v>
      </c>
      <c r="O44">
        <f>VLOOKUP(D44, Products!A:D, 4, FALSE)</f>
        <v>2135</v>
      </c>
      <c r="P44">
        <f>IFERROR(VLOOKUP(C44, Customers!A:C, 3, FALSE), 0)</f>
        <v>37</v>
      </c>
      <c r="Q44">
        <f t="shared" si="0"/>
        <v>0.42761394101876676</v>
      </c>
    </row>
    <row r="45" spans="1:17" x14ac:dyDescent="0.3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  <c r="L45" t="str">
        <f>VLOOKUP(D45, Products!A:C, 3, FALSE)</f>
        <v>Beauty</v>
      </c>
      <c r="M45" t="str">
        <f>IFERROR(VLOOKUP(C45, Customers!A:E, 5, FALSE), "Unknown")</f>
        <v>SMB</v>
      </c>
      <c r="N45" t="str">
        <f>VLOOKUP(E45, Sales_Reps!A:C, 3, FALSE)</f>
        <v>West</v>
      </c>
      <c r="O45">
        <f>VLOOKUP(D45, Products!A:D, 4, FALSE)</f>
        <v>2420</v>
      </c>
      <c r="P45">
        <f>IFERROR(VLOOKUP(C45, Customers!A:C, 3, FALSE), 0)</f>
        <v>54</v>
      </c>
      <c r="Q45">
        <f t="shared" si="0"/>
        <v>0.29855072463768118</v>
      </c>
    </row>
    <row r="46" spans="1:17" x14ac:dyDescent="0.3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  <c r="L46" t="str">
        <f>VLOOKUP(D46, Products!A:C, 3, FALSE)</f>
        <v>Apparel</v>
      </c>
      <c r="M46" t="str">
        <f>IFERROR(VLOOKUP(C46, Customers!A:E, 5, FALSE), "Unknown")</f>
        <v>SMB</v>
      </c>
      <c r="N46" t="str">
        <f>VLOOKUP(E46, Sales_Reps!A:C, 3, FALSE)</f>
        <v>East</v>
      </c>
      <c r="O46">
        <f>VLOOKUP(D46, Products!A:D, 4, FALSE)</f>
        <v>1173</v>
      </c>
      <c r="P46">
        <f>IFERROR(VLOOKUP(C46, Customers!A:C, 3, FALSE), 0)</f>
        <v>64</v>
      </c>
      <c r="Q46">
        <f t="shared" si="0"/>
        <v>0.52701612903225803</v>
      </c>
    </row>
    <row r="47" spans="1:17" x14ac:dyDescent="0.3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  <c r="L47" t="str">
        <f>VLOOKUP(D47, Products!A:C, 3, FALSE)</f>
        <v>Grocery</v>
      </c>
      <c r="M47" t="str">
        <f>IFERROR(VLOOKUP(C47, Customers!A:E, 5, FALSE), "Unknown")</f>
        <v>SMB</v>
      </c>
      <c r="N47" t="str">
        <f>VLOOKUP(E47, Sales_Reps!A:C, 3, FALSE)</f>
        <v>South</v>
      </c>
      <c r="O47">
        <f>VLOOKUP(D47, Products!A:D, 4, FALSE)</f>
        <v>2436</v>
      </c>
      <c r="P47">
        <f>IFERROR(VLOOKUP(C47, Customers!A:C, 3, FALSE), 0)</f>
        <v>29</v>
      </c>
      <c r="Q47">
        <f t="shared" si="0"/>
        <v>0.35555555555555557</v>
      </c>
    </row>
    <row r="48" spans="1:17" x14ac:dyDescent="0.3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  <c r="L48" t="str">
        <f>VLOOKUP(D48, Products!A:C, 3, FALSE)</f>
        <v>Apparel</v>
      </c>
      <c r="M48" t="str">
        <f>IFERROR(VLOOKUP(C48, Customers!A:E, 5, FALSE), "Unknown")</f>
        <v>Retail</v>
      </c>
      <c r="N48" t="str">
        <f>VLOOKUP(E48, Sales_Reps!A:C, 3, FALSE)</f>
        <v>East</v>
      </c>
      <c r="O48">
        <f>VLOOKUP(D48, Products!A:D, 4, FALSE)</f>
        <v>2611</v>
      </c>
      <c r="P48">
        <f>IFERROR(VLOOKUP(C48, Customers!A:C, 3, FALSE), 0)</f>
        <v>64</v>
      </c>
      <c r="Q48">
        <f t="shared" si="0"/>
        <v>0.28269230769230769</v>
      </c>
    </row>
    <row r="49" spans="1:17" x14ac:dyDescent="0.3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  <c r="L49" t="str">
        <f>VLOOKUP(D49, Products!A:C, 3, FALSE)</f>
        <v>Beauty</v>
      </c>
      <c r="M49" t="str">
        <f>IFERROR(VLOOKUP(C49, Customers!A:E, 5, FALSE), "Unknown")</f>
        <v>Unknown</v>
      </c>
      <c r="N49" t="str">
        <f>VLOOKUP(E49, Sales_Reps!A:C, 3, FALSE)</f>
        <v>North</v>
      </c>
      <c r="O49">
        <f>VLOOKUP(D49, Products!A:D, 4, FALSE)</f>
        <v>2617</v>
      </c>
      <c r="P49">
        <f>IFERROR(VLOOKUP(C49, Customers!A:C, 3, FALSE), 0)</f>
        <v>0</v>
      </c>
      <c r="Q49">
        <f t="shared" si="0"/>
        <v>0.56957236842105263</v>
      </c>
    </row>
    <row r="50" spans="1:17" x14ac:dyDescent="0.3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  <c r="L50" t="str">
        <f>VLOOKUP(D50, Products!A:C, 3, FALSE)</f>
        <v>Grocery</v>
      </c>
      <c r="M50" t="str">
        <f>IFERROR(VLOOKUP(C50, Customers!A:E, 5, FALSE), "Unknown")</f>
        <v>SMB</v>
      </c>
      <c r="N50" t="str">
        <f>VLOOKUP(E50, Sales_Reps!A:C, 3, FALSE)</f>
        <v>North</v>
      </c>
      <c r="O50">
        <f>VLOOKUP(D50, Products!A:D, 4, FALSE)</f>
        <v>434</v>
      </c>
      <c r="P50">
        <f>IFERROR(VLOOKUP(C50, Customers!A:C, 3, FALSE), 0)</f>
        <v>52</v>
      </c>
      <c r="Q50">
        <f t="shared" si="0"/>
        <v>0.5525773195876289</v>
      </c>
    </row>
    <row r="51" spans="1:17" x14ac:dyDescent="0.3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  <c r="L51" t="str">
        <f>VLOOKUP(D51, Products!A:C, 3, FALSE)</f>
        <v>Grocery</v>
      </c>
      <c r="M51" t="str">
        <f>IFERROR(VLOOKUP(C51, Customers!A:E, 5, FALSE), "Unknown")</f>
        <v>Corporate</v>
      </c>
      <c r="N51" t="str">
        <f>VLOOKUP(E51, Sales_Reps!A:C, 3, FALSE)</f>
        <v>West</v>
      </c>
      <c r="O51">
        <f>VLOOKUP(D51, Products!A:D, 4, FALSE)</f>
        <v>1412</v>
      </c>
      <c r="P51">
        <f>IFERROR(VLOOKUP(C51, Customers!A:C, 3, FALSE), 0)</f>
        <v>52</v>
      </c>
      <c r="Q51">
        <f t="shared" si="0"/>
        <v>0.37797356828193834</v>
      </c>
    </row>
    <row r="52" spans="1:17" x14ac:dyDescent="0.3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  <c r="L52" t="str">
        <f>VLOOKUP(D52, Products!A:C, 3, FALSE)</f>
        <v>Electronics</v>
      </c>
      <c r="M52" t="str">
        <f>IFERROR(VLOOKUP(C52, Customers!A:E, 5, FALSE), "Unknown")</f>
        <v>Retail</v>
      </c>
      <c r="N52" t="str">
        <f>VLOOKUP(E52, Sales_Reps!A:C, 3, FALSE)</f>
        <v>East</v>
      </c>
      <c r="O52">
        <f>VLOOKUP(D52, Products!A:D, 4, FALSE)</f>
        <v>1559</v>
      </c>
      <c r="P52">
        <f>IFERROR(VLOOKUP(C52, Customers!A:C, 3, FALSE), 0)</f>
        <v>34</v>
      </c>
      <c r="Q52">
        <f t="shared" si="0"/>
        <v>0.59715762273901807</v>
      </c>
    </row>
    <row r="53" spans="1:17" x14ac:dyDescent="0.3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  <c r="L53" t="str">
        <f>VLOOKUP(D53, Products!A:C, 3, FALSE)</f>
        <v>Beauty</v>
      </c>
      <c r="M53" t="str">
        <f>IFERROR(VLOOKUP(C53, Customers!A:E, 5, FALSE), "Unknown")</f>
        <v>SMB</v>
      </c>
      <c r="N53" t="str">
        <f>VLOOKUP(E53, Sales_Reps!A:C, 3, FALSE)</f>
        <v>South</v>
      </c>
      <c r="O53">
        <f>VLOOKUP(D53, Products!A:D, 4, FALSE)</f>
        <v>2768</v>
      </c>
      <c r="P53">
        <f>IFERROR(VLOOKUP(C53, Customers!A:C, 3, FALSE), 0)</f>
        <v>34</v>
      </c>
      <c r="Q53">
        <f t="shared" si="0"/>
        <v>0.43278688524590164</v>
      </c>
    </row>
    <row r="54" spans="1:17" x14ac:dyDescent="0.3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  <c r="L54" t="str">
        <f>VLOOKUP(D54, Products!A:C, 3, FALSE)</f>
        <v>Grocery</v>
      </c>
      <c r="M54" t="str">
        <f>IFERROR(VLOOKUP(C54, Customers!A:E, 5, FALSE), "Unknown")</f>
        <v>Retail</v>
      </c>
      <c r="N54" t="str">
        <f>VLOOKUP(E54, Sales_Reps!A:C, 3, FALSE)</f>
        <v>South</v>
      </c>
      <c r="O54">
        <f>VLOOKUP(D54, Products!A:D, 4, FALSE)</f>
        <v>2436</v>
      </c>
      <c r="P54">
        <f>IFERROR(VLOOKUP(C54, Customers!A:C, 3, FALSE), 0)</f>
        <v>36</v>
      </c>
      <c r="Q54">
        <f t="shared" si="0"/>
        <v>0.35555555555555557</v>
      </c>
    </row>
    <row r="55" spans="1:17" x14ac:dyDescent="0.3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  <c r="L55" t="str">
        <f>VLOOKUP(D55, Products!A:C, 3, FALSE)</f>
        <v>Home</v>
      </c>
      <c r="M55" t="str">
        <f>IFERROR(VLOOKUP(C55, Customers!A:E, 5, FALSE), "Unknown")</f>
        <v>Retail</v>
      </c>
      <c r="N55" t="str">
        <f>VLOOKUP(E55, Sales_Reps!A:C, 3, FALSE)</f>
        <v>East</v>
      </c>
      <c r="O55">
        <f>VLOOKUP(D55, Products!A:D, 4, FALSE)</f>
        <v>1556</v>
      </c>
      <c r="P55">
        <f>IFERROR(VLOOKUP(C55, Customers!A:C, 3, FALSE), 0)</f>
        <v>24</v>
      </c>
      <c r="Q55">
        <f t="shared" si="0"/>
        <v>0.52123076923076928</v>
      </c>
    </row>
    <row r="56" spans="1:17" x14ac:dyDescent="0.3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  <c r="L56" t="str">
        <f>VLOOKUP(D56, Products!A:C, 3, FALSE)</f>
        <v>Apparel</v>
      </c>
      <c r="M56" t="str">
        <f>IFERROR(VLOOKUP(C56, Customers!A:E, 5, FALSE), "Unknown")</f>
        <v>Retail</v>
      </c>
      <c r="N56" t="str">
        <f>VLOOKUP(E56, Sales_Reps!A:C, 3, FALSE)</f>
        <v>North</v>
      </c>
      <c r="O56">
        <f>VLOOKUP(D56, Products!A:D, 4, FALSE)</f>
        <v>2611</v>
      </c>
      <c r="P56">
        <f>IFERROR(VLOOKUP(C56, Customers!A:C, 3, FALSE), 0)</f>
        <v>27</v>
      </c>
      <c r="Q56">
        <f t="shared" si="0"/>
        <v>0.28269230769230769</v>
      </c>
    </row>
    <row r="57" spans="1:17" x14ac:dyDescent="0.3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  <c r="L57" t="str">
        <f>VLOOKUP(D57, Products!A:C, 3, FALSE)</f>
        <v>Beauty</v>
      </c>
      <c r="M57" t="str">
        <f>IFERROR(VLOOKUP(C57, Customers!A:E, 5, FALSE), "Unknown")</f>
        <v>SMB</v>
      </c>
      <c r="N57" t="str">
        <f>VLOOKUP(E57, Sales_Reps!A:C, 3, FALSE)</f>
        <v>East</v>
      </c>
      <c r="O57">
        <f>VLOOKUP(D57, Products!A:D, 4, FALSE)</f>
        <v>647</v>
      </c>
      <c r="P57">
        <f>IFERROR(VLOOKUP(C57, Customers!A:C, 3, FALSE), 0)</f>
        <v>55</v>
      </c>
      <c r="Q57">
        <f t="shared" si="0"/>
        <v>0.57987012987012987</v>
      </c>
    </row>
    <row r="58" spans="1:17" x14ac:dyDescent="0.3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  <c r="L58" t="str">
        <f>VLOOKUP(D58, Products!A:C, 3, FALSE)</f>
        <v>Home</v>
      </c>
      <c r="M58" t="str">
        <f>IFERROR(VLOOKUP(C58, Customers!A:E, 5, FALSE), "Unknown")</f>
        <v>Retail</v>
      </c>
      <c r="N58" t="str">
        <f>VLOOKUP(E58, Sales_Reps!A:C, 3, FALSE)</f>
        <v>East</v>
      </c>
      <c r="O58">
        <f>VLOOKUP(D58, Products!A:D, 4, FALSE)</f>
        <v>519</v>
      </c>
      <c r="P58">
        <f>IFERROR(VLOOKUP(C58, Customers!A:C, 3, FALSE), 0)</f>
        <v>54</v>
      </c>
      <c r="Q58">
        <f t="shared" si="0"/>
        <v>0.51944444444444449</v>
      </c>
    </row>
    <row r="59" spans="1:17" x14ac:dyDescent="0.3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  <c r="L59" t="str">
        <f>VLOOKUP(D59, Products!A:C, 3, FALSE)</f>
        <v>Grocery</v>
      </c>
      <c r="M59" t="str">
        <f>IFERROR(VLOOKUP(C59, Customers!A:E, 5, FALSE), "Unknown")</f>
        <v>Retail</v>
      </c>
      <c r="N59" t="str">
        <f>VLOOKUP(E59, Sales_Reps!A:C, 3, FALSE)</f>
        <v>North</v>
      </c>
      <c r="O59">
        <f>VLOOKUP(D59, Products!A:D, 4, FALSE)</f>
        <v>2027</v>
      </c>
      <c r="P59">
        <f>IFERROR(VLOOKUP(C59, Customers!A:C, 3, FALSE), 0)</f>
        <v>53</v>
      </c>
      <c r="Q59">
        <f t="shared" si="0"/>
        <v>0.50196560196560192</v>
      </c>
    </row>
    <row r="60" spans="1:17" x14ac:dyDescent="0.3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  <c r="L60" t="str">
        <f>VLOOKUP(D60, Products!A:C, 3, FALSE)</f>
        <v>Electronics</v>
      </c>
      <c r="M60" t="str">
        <f>IFERROR(VLOOKUP(C60, Customers!A:E, 5, FALSE), "Unknown")</f>
        <v>Corporate</v>
      </c>
      <c r="N60" t="str">
        <f>VLOOKUP(E60, Sales_Reps!A:C, 3, FALSE)</f>
        <v>West</v>
      </c>
      <c r="O60">
        <f>VLOOKUP(D60, Products!A:D, 4, FALSE)</f>
        <v>517</v>
      </c>
      <c r="P60">
        <f>IFERROR(VLOOKUP(C60, Customers!A:C, 3, FALSE), 0)</f>
        <v>55</v>
      </c>
      <c r="Q60">
        <f t="shared" si="0"/>
        <v>0.57622950819672136</v>
      </c>
    </row>
    <row r="61" spans="1:17" x14ac:dyDescent="0.3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  <c r="L61" t="str">
        <f>VLOOKUP(D61, Products!A:C, 3, FALSE)</f>
        <v>Home</v>
      </c>
      <c r="M61" t="str">
        <f>IFERROR(VLOOKUP(C61, Customers!A:E, 5, FALSE), "Unknown")</f>
        <v>Retail</v>
      </c>
      <c r="N61" t="str">
        <f>VLOOKUP(E61, Sales_Reps!A:C, 3, FALSE)</f>
        <v>West</v>
      </c>
      <c r="O61">
        <f>VLOOKUP(D61, Products!A:D, 4, FALSE)</f>
        <v>1850</v>
      </c>
      <c r="P61">
        <f>IFERROR(VLOOKUP(C61, Customers!A:C, 3, FALSE), 0)</f>
        <v>40</v>
      </c>
      <c r="Q61">
        <f t="shared" si="0"/>
        <v>0.59869848156182215</v>
      </c>
    </row>
    <row r="62" spans="1:17" x14ac:dyDescent="0.3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  <c r="L62" t="str">
        <f>VLOOKUP(D62, Products!A:C, 3, FALSE)</f>
        <v>Home</v>
      </c>
      <c r="M62" t="str">
        <f>IFERROR(VLOOKUP(C62, Customers!A:E, 5, FALSE), "Unknown")</f>
        <v>SMB</v>
      </c>
      <c r="N62" t="str">
        <f>VLOOKUP(E62, Sales_Reps!A:C, 3, FALSE)</f>
        <v>South</v>
      </c>
      <c r="O62">
        <f>VLOOKUP(D62, Products!A:D, 4, FALSE)</f>
        <v>519</v>
      </c>
      <c r="P62">
        <f>IFERROR(VLOOKUP(C62, Customers!A:C, 3, FALSE), 0)</f>
        <v>55</v>
      </c>
      <c r="Q62">
        <f t="shared" si="0"/>
        <v>0.51944444444444449</v>
      </c>
    </row>
    <row r="63" spans="1:17" x14ac:dyDescent="0.3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  <c r="L63" t="str">
        <f>VLOOKUP(D63, Products!A:C, 3, FALSE)</f>
        <v>Beauty</v>
      </c>
      <c r="M63" t="str">
        <f>IFERROR(VLOOKUP(C63, Customers!A:E, 5, FALSE), "Unknown")</f>
        <v>Retail</v>
      </c>
      <c r="N63" t="str">
        <f>VLOOKUP(E63, Sales_Reps!A:C, 3, FALSE)</f>
        <v>North</v>
      </c>
      <c r="O63">
        <f>VLOOKUP(D63, Products!A:D, 4, FALSE)</f>
        <v>1626</v>
      </c>
      <c r="P63">
        <f>IFERROR(VLOOKUP(C63, Customers!A:C, 3, FALSE), 0)</f>
        <v>44</v>
      </c>
      <c r="Q63">
        <f t="shared" si="0"/>
        <v>0.46158940397350995</v>
      </c>
    </row>
    <row r="64" spans="1:17" x14ac:dyDescent="0.3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  <c r="L64" t="str">
        <f>VLOOKUP(D64, Products!A:C, 3, FALSE)</f>
        <v>Electronics</v>
      </c>
      <c r="M64" t="str">
        <f>IFERROR(VLOOKUP(C64, Customers!A:E, 5, FALSE), "Unknown")</f>
        <v>Corporate</v>
      </c>
      <c r="N64" t="str">
        <f>VLOOKUP(E64, Sales_Reps!A:C, 3, FALSE)</f>
        <v>East</v>
      </c>
      <c r="O64">
        <f>VLOOKUP(D64, Products!A:D, 4, FALSE)</f>
        <v>1259</v>
      </c>
      <c r="P64">
        <f>IFERROR(VLOOKUP(C64, Customers!A:C, 3, FALSE), 0)</f>
        <v>29</v>
      </c>
      <c r="Q64">
        <f t="shared" si="0"/>
        <v>0.52669172932330832</v>
      </c>
    </row>
    <row r="65" spans="1:17" x14ac:dyDescent="0.3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  <c r="L65" t="str">
        <f>VLOOKUP(D65, Products!A:C, 3, FALSE)</f>
        <v>Electronics</v>
      </c>
      <c r="M65" t="str">
        <f>IFERROR(VLOOKUP(C65, Customers!A:E, 5, FALSE), "Unknown")</f>
        <v>Retail</v>
      </c>
      <c r="N65" t="str">
        <f>VLOOKUP(E65, Sales_Reps!A:C, 3, FALSE)</f>
        <v>North</v>
      </c>
      <c r="O65">
        <f>VLOOKUP(D65, Products!A:D, 4, FALSE)</f>
        <v>128</v>
      </c>
      <c r="P65">
        <f>IFERROR(VLOOKUP(C65, Customers!A:C, 3, FALSE), 0)</f>
        <v>25</v>
      </c>
      <c r="Q65">
        <f t="shared" si="0"/>
        <v>0.57333333333333336</v>
      </c>
    </row>
    <row r="66" spans="1:17" x14ac:dyDescent="0.3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  <c r="L66" t="str">
        <f>VLOOKUP(D66, Products!A:C, 3, FALSE)</f>
        <v>Electronics</v>
      </c>
      <c r="M66" t="str">
        <f>IFERROR(VLOOKUP(C66, Customers!A:E, 5, FALSE), "Unknown")</f>
        <v>Retail</v>
      </c>
      <c r="N66" t="str">
        <f>VLOOKUP(E66, Sales_Reps!A:C, 3, FALSE)</f>
        <v>East</v>
      </c>
      <c r="O66">
        <f>VLOOKUP(D66, Products!A:D, 4, FALSE)</f>
        <v>1149</v>
      </c>
      <c r="P66">
        <f>IFERROR(VLOOKUP(C66, Customers!A:C, 3, FALSE), 0)</f>
        <v>28</v>
      </c>
      <c r="Q66">
        <f t="shared" si="0"/>
        <v>0.56477272727272732</v>
      </c>
    </row>
    <row r="67" spans="1:17" x14ac:dyDescent="0.3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  <c r="L67" t="str">
        <f>VLOOKUP(D67, Products!A:C, 3, FALSE)</f>
        <v>Apparel</v>
      </c>
      <c r="M67" t="str">
        <f>IFERROR(VLOOKUP(C67, Customers!A:E, 5, FALSE), "Unknown")</f>
        <v>SMB</v>
      </c>
      <c r="N67" t="str">
        <f>VLOOKUP(E67, Sales_Reps!A:C, 3, FALSE)</f>
        <v>East</v>
      </c>
      <c r="O67">
        <f>VLOOKUP(D67, Products!A:D, 4, FALSE)</f>
        <v>391</v>
      </c>
      <c r="P67">
        <f>IFERROR(VLOOKUP(C67, Customers!A:C, 3, FALSE), 0)</f>
        <v>50</v>
      </c>
      <c r="Q67">
        <f t="shared" ref="Q67:Q130" si="1">(G67 - O67) / G67</f>
        <v>0.52317073170731709</v>
      </c>
    </row>
    <row r="68" spans="1:17" x14ac:dyDescent="0.3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  <c r="L68" t="str">
        <f>VLOOKUP(D68, Products!A:C, 3, FALSE)</f>
        <v>Grocery</v>
      </c>
      <c r="M68" t="str">
        <f>IFERROR(VLOOKUP(C68, Customers!A:E, 5, FALSE), "Unknown")</f>
        <v>Retail</v>
      </c>
      <c r="N68" t="str">
        <f>VLOOKUP(E68, Sales_Reps!A:C, 3, FALSE)</f>
        <v>West</v>
      </c>
      <c r="O68">
        <f>VLOOKUP(D68, Products!A:D, 4, FALSE)</f>
        <v>1435</v>
      </c>
      <c r="P68">
        <f>IFERROR(VLOOKUP(C68, Customers!A:C, 3, FALSE), 0)</f>
        <v>39</v>
      </c>
      <c r="Q68">
        <f t="shared" si="1"/>
        <v>0.48007246376811596</v>
      </c>
    </row>
    <row r="69" spans="1:17" x14ac:dyDescent="0.3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  <c r="L69" t="str">
        <f>VLOOKUP(D69, Products!A:C, 3, FALSE)</f>
        <v>Apparel</v>
      </c>
      <c r="M69" t="str">
        <f>IFERROR(VLOOKUP(C69, Customers!A:E, 5, FALSE), "Unknown")</f>
        <v>Retail</v>
      </c>
      <c r="N69" t="str">
        <f>VLOOKUP(E69, Sales_Reps!A:C, 3, FALSE)</f>
        <v>East</v>
      </c>
      <c r="O69">
        <f>VLOOKUP(D69, Products!A:D, 4, FALSE)</f>
        <v>2509</v>
      </c>
      <c r="P69">
        <f>IFERROR(VLOOKUP(C69, Customers!A:C, 3, FALSE), 0)</f>
        <v>38</v>
      </c>
      <c r="Q69">
        <f t="shared" si="1"/>
        <v>0.3069060773480663</v>
      </c>
    </row>
    <row r="70" spans="1:17" x14ac:dyDescent="0.3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  <c r="L70" t="str">
        <f>VLOOKUP(D70, Products!A:C, 3, FALSE)</f>
        <v>Apparel</v>
      </c>
      <c r="M70" t="str">
        <f>IFERROR(VLOOKUP(C70, Customers!A:E, 5, FALSE), "Unknown")</f>
        <v>Retail</v>
      </c>
      <c r="N70" t="str">
        <f>VLOOKUP(E70, Sales_Reps!A:C, 3, FALSE)</f>
        <v>West</v>
      </c>
      <c r="O70">
        <f>VLOOKUP(D70, Products!A:D, 4, FALSE)</f>
        <v>396</v>
      </c>
      <c r="P70">
        <f>IFERROR(VLOOKUP(C70, Customers!A:C, 3, FALSE), 0)</f>
        <v>35</v>
      </c>
      <c r="Q70">
        <f t="shared" si="1"/>
        <v>0.36129032258064514</v>
      </c>
    </row>
    <row r="71" spans="1:17" x14ac:dyDescent="0.3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  <c r="L71" t="str">
        <f>VLOOKUP(D71, Products!A:C, 3, FALSE)</f>
        <v>Home</v>
      </c>
      <c r="M71" t="str">
        <f>IFERROR(VLOOKUP(C71, Customers!A:E, 5, FALSE), "Unknown")</f>
        <v>SMB</v>
      </c>
      <c r="N71" t="str">
        <f>VLOOKUP(E71, Sales_Reps!A:C, 3, FALSE)</f>
        <v>West</v>
      </c>
      <c r="O71">
        <f>VLOOKUP(D71, Products!A:D, 4, FALSE)</f>
        <v>1143</v>
      </c>
      <c r="P71">
        <f>IFERROR(VLOOKUP(C71, Customers!A:C, 3, FALSE), 0)</f>
        <v>43</v>
      </c>
      <c r="Q71">
        <f t="shared" si="1"/>
        <v>0.43694581280788175</v>
      </c>
    </row>
    <row r="72" spans="1:17" x14ac:dyDescent="0.3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  <c r="L72" t="str">
        <f>VLOOKUP(D72, Products!A:C, 3, FALSE)</f>
        <v>Apparel</v>
      </c>
      <c r="M72" t="str">
        <f>IFERROR(VLOOKUP(C72, Customers!A:E, 5, FALSE), "Unknown")</f>
        <v>Retail</v>
      </c>
      <c r="N72" t="str">
        <f>VLOOKUP(E72, Sales_Reps!A:C, 3, FALSE)</f>
        <v>North</v>
      </c>
      <c r="O72">
        <f>VLOOKUP(D72, Products!A:D, 4, FALSE)</f>
        <v>1886</v>
      </c>
      <c r="P72">
        <f>IFERROR(VLOOKUP(C72, Customers!A:C, 3, FALSE), 0)</f>
        <v>36</v>
      </c>
      <c r="Q72">
        <f t="shared" si="1"/>
        <v>0.4031645569620253</v>
      </c>
    </row>
    <row r="73" spans="1:17" x14ac:dyDescent="0.3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  <c r="L73" t="str">
        <f>VLOOKUP(D73, Products!A:C, 3, FALSE)</f>
        <v>Grocery</v>
      </c>
      <c r="M73" t="str">
        <f>IFERROR(VLOOKUP(C73, Customers!A:E, 5, FALSE), "Unknown")</f>
        <v>Retail</v>
      </c>
      <c r="N73" t="str">
        <f>VLOOKUP(E73, Sales_Reps!A:C, 3, FALSE)</f>
        <v>North</v>
      </c>
      <c r="O73">
        <f>VLOOKUP(D73, Products!A:D, 4, FALSE)</f>
        <v>434</v>
      </c>
      <c r="P73">
        <f>IFERROR(VLOOKUP(C73, Customers!A:C, 3, FALSE), 0)</f>
        <v>29</v>
      </c>
      <c r="Q73">
        <f t="shared" si="1"/>
        <v>0.5525773195876289</v>
      </c>
    </row>
    <row r="74" spans="1:17" x14ac:dyDescent="0.3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  <c r="L74" t="str">
        <f>VLOOKUP(D74, Products!A:C, 3, FALSE)</f>
        <v>Beauty</v>
      </c>
      <c r="M74" t="str">
        <f>IFERROR(VLOOKUP(C74, Customers!A:E, 5, FALSE), "Unknown")</f>
        <v>Retail</v>
      </c>
      <c r="N74" t="str">
        <f>VLOOKUP(E74, Sales_Reps!A:C, 3, FALSE)</f>
        <v>North</v>
      </c>
      <c r="O74">
        <f>VLOOKUP(D74, Products!A:D, 4, FALSE)</f>
        <v>1728</v>
      </c>
      <c r="P74">
        <f>IFERROR(VLOOKUP(C74, Customers!A:C, 3, FALSE), 0)</f>
        <v>41</v>
      </c>
      <c r="Q74">
        <f t="shared" si="1"/>
        <v>0.48417910447761192</v>
      </c>
    </row>
    <row r="75" spans="1:17" x14ac:dyDescent="0.3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  <c r="L75" t="str">
        <f>VLOOKUP(D75, Products!A:C, 3, FALSE)</f>
        <v>Home</v>
      </c>
      <c r="M75" t="str">
        <f>IFERROR(VLOOKUP(C75, Customers!A:E, 5, FALSE), "Unknown")</f>
        <v>SMB</v>
      </c>
      <c r="N75" t="str">
        <f>VLOOKUP(E75, Sales_Reps!A:C, 3, FALSE)</f>
        <v>East</v>
      </c>
      <c r="O75">
        <f>VLOOKUP(D75, Products!A:D, 4, FALSE)</f>
        <v>288</v>
      </c>
      <c r="P75">
        <f>IFERROR(VLOOKUP(C75, Customers!A:C, 3, FALSE), 0)</f>
        <v>55</v>
      </c>
      <c r="Q75">
        <f t="shared" si="1"/>
        <v>0.22162162162162163</v>
      </c>
    </row>
    <row r="76" spans="1:17" x14ac:dyDescent="0.3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  <c r="L76" t="str">
        <f>VLOOKUP(D76, Products!A:C, 3, FALSE)</f>
        <v>Grocery</v>
      </c>
      <c r="M76" t="str">
        <f>IFERROR(VLOOKUP(C76, Customers!A:E, 5, FALSE), "Unknown")</f>
        <v>Corporate</v>
      </c>
      <c r="N76" t="str">
        <f>VLOOKUP(E76, Sales_Reps!A:C, 3, FALSE)</f>
        <v>South</v>
      </c>
      <c r="O76">
        <f>VLOOKUP(D76, Products!A:D, 4, FALSE)</f>
        <v>434</v>
      </c>
      <c r="P76">
        <f>IFERROR(VLOOKUP(C76, Customers!A:C, 3, FALSE), 0)</f>
        <v>46</v>
      </c>
      <c r="Q76">
        <f t="shared" si="1"/>
        <v>0.5525773195876289</v>
      </c>
    </row>
    <row r="77" spans="1:17" x14ac:dyDescent="0.3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  <c r="L77" t="str">
        <f>VLOOKUP(D77, Products!A:C, 3, FALSE)</f>
        <v>Grocery</v>
      </c>
      <c r="M77" t="str">
        <f>IFERROR(VLOOKUP(C77, Customers!A:E, 5, FALSE), "Unknown")</f>
        <v>SMB</v>
      </c>
      <c r="N77" t="str">
        <f>VLOOKUP(E77, Sales_Reps!A:C, 3, FALSE)</f>
        <v>East</v>
      </c>
      <c r="O77">
        <f>VLOOKUP(D77, Products!A:D, 4, FALSE)</f>
        <v>1435</v>
      </c>
      <c r="P77">
        <f>IFERROR(VLOOKUP(C77, Customers!A:C, 3, FALSE), 0)</f>
        <v>39</v>
      </c>
      <c r="Q77">
        <f t="shared" si="1"/>
        <v>0.48007246376811596</v>
      </c>
    </row>
    <row r="78" spans="1:17" x14ac:dyDescent="0.3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  <c r="L78" t="str">
        <f>VLOOKUP(D78, Products!A:C, 3, FALSE)</f>
        <v>Grocery</v>
      </c>
      <c r="M78" t="str">
        <f>IFERROR(VLOOKUP(C78, Customers!A:E, 5, FALSE), "Unknown")</f>
        <v>SMB</v>
      </c>
      <c r="N78" t="str">
        <f>VLOOKUP(E78, Sales_Reps!A:C, 3, FALSE)</f>
        <v>East</v>
      </c>
      <c r="O78">
        <f>VLOOKUP(D78, Products!A:D, 4, FALSE)</f>
        <v>1435</v>
      </c>
      <c r="P78">
        <f>IFERROR(VLOOKUP(C78, Customers!A:C, 3, FALSE), 0)</f>
        <v>54</v>
      </c>
      <c r="Q78">
        <f t="shared" si="1"/>
        <v>0.48007246376811596</v>
      </c>
    </row>
    <row r="79" spans="1:17" x14ac:dyDescent="0.3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  <c r="L79" t="str">
        <f>VLOOKUP(D79, Products!A:C, 3, FALSE)</f>
        <v>Electronics</v>
      </c>
      <c r="M79" t="str">
        <f>IFERROR(VLOOKUP(C79, Customers!A:E, 5, FALSE), "Unknown")</f>
        <v>Retail</v>
      </c>
      <c r="N79" t="str">
        <f>VLOOKUP(E79, Sales_Reps!A:C, 3, FALSE)</f>
        <v>East</v>
      </c>
      <c r="O79">
        <f>VLOOKUP(D79, Products!A:D, 4, FALSE)</f>
        <v>517</v>
      </c>
      <c r="P79">
        <f>IFERROR(VLOOKUP(C79, Customers!A:C, 3, FALSE), 0)</f>
        <v>42</v>
      </c>
      <c r="Q79">
        <f t="shared" si="1"/>
        <v>0.57622950819672136</v>
      </c>
    </row>
    <row r="80" spans="1:17" x14ac:dyDescent="0.3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  <c r="L80" t="str">
        <f>VLOOKUP(D80, Products!A:C, 3, FALSE)</f>
        <v>Electronics</v>
      </c>
      <c r="M80" t="str">
        <f>IFERROR(VLOOKUP(C80, Customers!A:E, 5, FALSE), "Unknown")</f>
        <v>Retail</v>
      </c>
      <c r="N80" t="str">
        <f>VLOOKUP(E80, Sales_Reps!A:C, 3, FALSE)</f>
        <v>West</v>
      </c>
      <c r="O80">
        <f>VLOOKUP(D80, Products!A:D, 4, FALSE)</f>
        <v>1052</v>
      </c>
      <c r="P80">
        <f>IFERROR(VLOOKUP(C80, Customers!A:C, 3, FALSE), 0)</f>
        <v>46</v>
      </c>
      <c r="Q80">
        <f t="shared" si="1"/>
        <v>0.5953846153846154</v>
      </c>
    </row>
    <row r="81" spans="1:17" x14ac:dyDescent="0.3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  <c r="L81" t="str">
        <f>VLOOKUP(D81, Products!A:C, 3, FALSE)</f>
        <v>Grocery</v>
      </c>
      <c r="M81" t="str">
        <f>IFERROR(VLOOKUP(C81, Customers!A:E, 5, FALSE), "Unknown")</f>
        <v>Corporate</v>
      </c>
      <c r="N81" t="str">
        <f>VLOOKUP(E81, Sales_Reps!A:C, 3, FALSE)</f>
        <v>West</v>
      </c>
      <c r="O81">
        <f>VLOOKUP(D81, Products!A:D, 4, FALSE)</f>
        <v>2027</v>
      </c>
      <c r="P81">
        <f>IFERROR(VLOOKUP(C81, Customers!A:C, 3, FALSE), 0)</f>
        <v>33</v>
      </c>
      <c r="Q81">
        <f t="shared" si="1"/>
        <v>0.50196560196560192</v>
      </c>
    </row>
    <row r="82" spans="1:17" x14ac:dyDescent="0.3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  <c r="L82" t="str">
        <f>VLOOKUP(D82, Products!A:C, 3, FALSE)</f>
        <v>Grocery</v>
      </c>
      <c r="M82" t="str">
        <f>IFERROR(VLOOKUP(C82, Customers!A:E, 5, FALSE), "Unknown")</f>
        <v>SMB</v>
      </c>
      <c r="N82" t="str">
        <f>VLOOKUP(E82, Sales_Reps!A:C, 3, FALSE)</f>
        <v>North</v>
      </c>
      <c r="O82">
        <f>VLOOKUP(D82, Products!A:D, 4, FALSE)</f>
        <v>1203</v>
      </c>
      <c r="P82">
        <f>IFERROR(VLOOKUP(C82, Customers!A:C, 3, FALSE), 0)</f>
        <v>60</v>
      </c>
      <c r="Q82">
        <f t="shared" si="1"/>
        <v>0.47004405286343615</v>
      </c>
    </row>
    <row r="83" spans="1:17" x14ac:dyDescent="0.3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  <c r="L83" t="str">
        <f>VLOOKUP(D83, Products!A:C, 3, FALSE)</f>
        <v>Apparel</v>
      </c>
      <c r="M83" t="str">
        <f>IFERROR(VLOOKUP(C83, Customers!A:E, 5, FALSE), "Unknown")</f>
        <v>SMB</v>
      </c>
      <c r="N83" t="str">
        <f>VLOOKUP(E83, Sales_Reps!A:C, 3, FALSE)</f>
        <v>East</v>
      </c>
      <c r="O83">
        <f>VLOOKUP(D83, Products!A:D, 4, FALSE)</f>
        <v>1886</v>
      </c>
      <c r="P83">
        <f>IFERROR(VLOOKUP(C83, Customers!A:C, 3, FALSE), 0)</f>
        <v>57</v>
      </c>
      <c r="Q83">
        <f t="shared" si="1"/>
        <v>0.4031645569620253</v>
      </c>
    </row>
    <row r="84" spans="1:17" x14ac:dyDescent="0.3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  <c r="L84" t="str">
        <f>VLOOKUP(D84, Products!A:C, 3, FALSE)</f>
        <v>Apparel</v>
      </c>
      <c r="M84" t="str">
        <f>IFERROR(VLOOKUP(C84, Customers!A:E, 5, FALSE), "Unknown")</f>
        <v>SMB</v>
      </c>
      <c r="N84" t="str">
        <f>VLOOKUP(E84, Sales_Reps!A:C, 3, FALSE)</f>
        <v>North</v>
      </c>
      <c r="O84">
        <f>VLOOKUP(D84, Products!A:D, 4, FALSE)</f>
        <v>1173</v>
      </c>
      <c r="P84">
        <f>IFERROR(VLOOKUP(C84, Customers!A:C, 3, FALSE), 0)</f>
        <v>36</v>
      </c>
      <c r="Q84">
        <f t="shared" si="1"/>
        <v>0.52701612903225803</v>
      </c>
    </row>
    <row r="85" spans="1:17" x14ac:dyDescent="0.3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  <c r="L85" t="str">
        <f>VLOOKUP(D85, Products!A:C, 3, FALSE)</f>
        <v>Electronics</v>
      </c>
      <c r="M85" t="str">
        <f>IFERROR(VLOOKUP(C85, Customers!A:E, 5, FALSE), "Unknown")</f>
        <v>Retail</v>
      </c>
      <c r="N85" t="str">
        <f>VLOOKUP(E85, Sales_Reps!A:C, 3, FALSE)</f>
        <v>West</v>
      </c>
      <c r="O85">
        <f>VLOOKUP(D85, Products!A:D, 4, FALSE)</f>
        <v>1259</v>
      </c>
      <c r="P85">
        <f>IFERROR(VLOOKUP(C85, Customers!A:C, 3, FALSE), 0)</f>
        <v>31</v>
      </c>
      <c r="Q85">
        <f t="shared" si="1"/>
        <v>0.52669172932330832</v>
      </c>
    </row>
    <row r="86" spans="1:17" x14ac:dyDescent="0.3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  <c r="L86" t="str">
        <f>VLOOKUP(D86, Products!A:C, 3, FALSE)</f>
        <v>Beauty</v>
      </c>
      <c r="M86" t="str">
        <f>IFERROR(VLOOKUP(C86, Customers!A:E, 5, FALSE), "Unknown")</f>
        <v>Retail</v>
      </c>
      <c r="N86" t="str">
        <f>VLOOKUP(E86, Sales_Reps!A:C, 3, FALSE)</f>
        <v>South</v>
      </c>
      <c r="O86">
        <f>VLOOKUP(D86, Products!A:D, 4, FALSE)</f>
        <v>1626</v>
      </c>
      <c r="P86">
        <f>IFERROR(VLOOKUP(C86, Customers!A:C, 3, FALSE), 0)</f>
        <v>28</v>
      </c>
      <c r="Q86">
        <f t="shared" si="1"/>
        <v>0.46158940397350995</v>
      </c>
    </row>
    <row r="87" spans="1:17" x14ac:dyDescent="0.3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  <c r="L87" t="str">
        <f>VLOOKUP(D87, Products!A:C, 3, FALSE)</f>
        <v>Apparel</v>
      </c>
      <c r="M87" t="str">
        <f>IFERROR(VLOOKUP(C87, Customers!A:E, 5, FALSE), "Unknown")</f>
        <v>SMB</v>
      </c>
      <c r="N87" t="str">
        <f>VLOOKUP(E87, Sales_Reps!A:C, 3, FALSE)</f>
        <v>West</v>
      </c>
      <c r="O87">
        <f>VLOOKUP(D87, Products!A:D, 4, FALSE)</f>
        <v>396</v>
      </c>
      <c r="P87">
        <f>IFERROR(VLOOKUP(C87, Customers!A:C, 3, FALSE), 0)</f>
        <v>44</v>
      </c>
      <c r="Q87">
        <f t="shared" si="1"/>
        <v>0.36129032258064514</v>
      </c>
    </row>
    <row r="88" spans="1:17" x14ac:dyDescent="0.3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  <c r="L88" t="str">
        <f>VLOOKUP(D88, Products!A:C, 3, FALSE)</f>
        <v>Sports</v>
      </c>
      <c r="M88" t="str">
        <f>IFERROR(VLOOKUP(C88, Customers!A:E, 5, FALSE), "Unknown")</f>
        <v>Retail</v>
      </c>
      <c r="N88" t="str">
        <f>VLOOKUP(E88, Sales_Reps!A:C, 3, FALSE)</f>
        <v>West</v>
      </c>
      <c r="O88">
        <f>VLOOKUP(D88, Products!A:D, 4, FALSE)</f>
        <v>302</v>
      </c>
      <c r="P88">
        <f>IFERROR(VLOOKUP(C88, Customers!A:C, 3, FALSE), 0)</f>
        <v>28</v>
      </c>
      <c r="Q88">
        <f t="shared" si="1"/>
        <v>0.35744680851063831</v>
      </c>
    </row>
    <row r="89" spans="1:17" x14ac:dyDescent="0.3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  <c r="L89" t="str">
        <f>VLOOKUP(D89, Products!A:C, 3, FALSE)</f>
        <v>Electronics</v>
      </c>
      <c r="M89" t="str">
        <f>IFERROR(VLOOKUP(C89, Customers!A:E, 5, FALSE), "Unknown")</f>
        <v>Retail</v>
      </c>
      <c r="N89" t="str">
        <f>VLOOKUP(E89, Sales_Reps!A:C, 3, FALSE)</f>
        <v>South</v>
      </c>
      <c r="O89">
        <f>VLOOKUP(D89, Products!A:D, 4, FALSE)</f>
        <v>861</v>
      </c>
      <c r="P89">
        <f>IFERROR(VLOOKUP(C89, Customers!A:C, 3, FALSE), 0)</f>
        <v>50</v>
      </c>
      <c r="Q89">
        <f t="shared" si="1"/>
        <v>0.39790209790209791</v>
      </c>
    </row>
    <row r="90" spans="1:17" x14ac:dyDescent="0.3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  <c r="L90" t="str">
        <f>VLOOKUP(D90, Products!A:C, 3, FALSE)</f>
        <v>Apparel</v>
      </c>
      <c r="M90" t="str">
        <f>IFERROR(VLOOKUP(C90, Customers!A:E, 5, FALSE), "Unknown")</f>
        <v>Corporate</v>
      </c>
      <c r="N90" t="str">
        <f>VLOOKUP(E90, Sales_Reps!A:C, 3, FALSE)</f>
        <v>North</v>
      </c>
      <c r="O90">
        <f>VLOOKUP(D90, Products!A:D, 4, FALSE)</f>
        <v>396</v>
      </c>
      <c r="P90">
        <f>IFERROR(VLOOKUP(C90, Customers!A:C, 3, FALSE), 0)</f>
        <v>59</v>
      </c>
      <c r="Q90">
        <f t="shared" si="1"/>
        <v>0.36129032258064514</v>
      </c>
    </row>
    <row r="91" spans="1:17" x14ac:dyDescent="0.3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  <c r="L91" t="str">
        <f>VLOOKUP(D91, Products!A:C, 3, FALSE)</f>
        <v>Electronics</v>
      </c>
      <c r="M91" t="str">
        <f>IFERROR(VLOOKUP(C91, Customers!A:E, 5, FALSE), "Unknown")</f>
        <v>SMB</v>
      </c>
      <c r="N91" t="str">
        <f>VLOOKUP(E91, Sales_Reps!A:C, 3, FALSE)</f>
        <v>South</v>
      </c>
      <c r="O91">
        <f>VLOOKUP(D91, Products!A:D, 4, FALSE)</f>
        <v>1665</v>
      </c>
      <c r="P91">
        <f>IFERROR(VLOOKUP(C91, Customers!A:C, 3, FALSE), 0)</f>
        <v>65</v>
      </c>
      <c r="Q91">
        <f t="shared" si="1"/>
        <v>0.53361344537815125</v>
      </c>
    </row>
    <row r="92" spans="1:17" x14ac:dyDescent="0.3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  <c r="L92" t="str">
        <f>VLOOKUP(D92, Products!A:C, 3, FALSE)</f>
        <v>Grocery</v>
      </c>
      <c r="M92" t="str">
        <f>IFERROR(VLOOKUP(C92, Customers!A:E, 5, FALSE), "Unknown")</f>
        <v>Corporate</v>
      </c>
      <c r="N92" t="str">
        <f>VLOOKUP(E92, Sales_Reps!A:C, 3, FALSE)</f>
        <v>South</v>
      </c>
      <c r="O92">
        <f>VLOOKUP(D92, Products!A:D, 4, FALSE)</f>
        <v>1412</v>
      </c>
      <c r="P92">
        <f>IFERROR(VLOOKUP(C92, Customers!A:C, 3, FALSE), 0)</f>
        <v>46</v>
      </c>
      <c r="Q92">
        <f t="shared" si="1"/>
        <v>0.37797356828193834</v>
      </c>
    </row>
    <row r="93" spans="1:17" x14ac:dyDescent="0.3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  <c r="L93" t="str">
        <f>VLOOKUP(D93, Products!A:C, 3, FALSE)</f>
        <v>Apparel</v>
      </c>
      <c r="M93" t="str">
        <f>IFERROR(VLOOKUP(C93, Customers!A:E, 5, FALSE), "Unknown")</f>
        <v>Retail</v>
      </c>
      <c r="N93" t="str">
        <f>VLOOKUP(E93, Sales_Reps!A:C, 3, FALSE)</f>
        <v>South</v>
      </c>
      <c r="O93">
        <f>VLOOKUP(D93, Products!A:D, 4, FALSE)</f>
        <v>1962</v>
      </c>
      <c r="P93">
        <f>IFERROR(VLOOKUP(C93, Customers!A:C, 3, FALSE), 0)</f>
        <v>49</v>
      </c>
      <c r="Q93">
        <f t="shared" si="1"/>
        <v>0.2786764705882353</v>
      </c>
    </row>
    <row r="94" spans="1:17" x14ac:dyDescent="0.3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  <c r="L94" t="str">
        <f>VLOOKUP(D94, Products!A:C, 3, FALSE)</f>
        <v>Grocery</v>
      </c>
      <c r="M94" t="str">
        <f>IFERROR(VLOOKUP(C94, Customers!A:E, 5, FALSE), "Unknown")</f>
        <v>Retail</v>
      </c>
      <c r="N94" t="str">
        <f>VLOOKUP(E94, Sales_Reps!A:C, 3, FALSE)</f>
        <v>North</v>
      </c>
      <c r="O94">
        <f>VLOOKUP(D94, Products!A:D, 4, FALSE)</f>
        <v>1010</v>
      </c>
      <c r="P94">
        <f>IFERROR(VLOOKUP(C94, Customers!A:C, 3, FALSE), 0)</f>
        <v>38</v>
      </c>
      <c r="Q94">
        <f t="shared" si="1"/>
        <v>0.54298642533936647</v>
      </c>
    </row>
    <row r="95" spans="1:17" x14ac:dyDescent="0.3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  <c r="L95" t="str">
        <f>VLOOKUP(D95, Products!A:C, 3, FALSE)</f>
        <v>Sports</v>
      </c>
      <c r="M95" t="str">
        <f>IFERROR(VLOOKUP(C95, Customers!A:E, 5, FALSE), "Unknown")</f>
        <v>Retail</v>
      </c>
      <c r="N95" t="str">
        <f>VLOOKUP(E95, Sales_Reps!A:C, 3, FALSE)</f>
        <v>West</v>
      </c>
      <c r="O95">
        <f>VLOOKUP(D95, Products!A:D, 4, FALSE)</f>
        <v>147</v>
      </c>
      <c r="P95">
        <f>IFERROR(VLOOKUP(C95, Customers!A:C, 3, FALSE), 0)</f>
        <v>25</v>
      </c>
      <c r="Q95">
        <f t="shared" si="1"/>
        <v>0.22631578947368422</v>
      </c>
    </row>
    <row r="96" spans="1:17" x14ac:dyDescent="0.3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  <c r="L96" t="str">
        <f>VLOOKUP(D96, Products!A:C, 3, FALSE)</f>
        <v>Beauty</v>
      </c>
      <c r="M96" t="str">
        <f>IFERROR(VLOOKUP(C96, Customers!A:E, 5, FALSE), "Unknown")</f>
        <v>Retail</v>
      </c>
      <c r="N96" t="str">
        <f>VLOOKUP(E96, Sales_Reps!A:C, 3, FALSE)</f>
        <v>West</v>
      </c>
      <c r="O96">
        <f>VLOOKUP(D96, Products!A:D, 4, FALSE)</f>
        <v>2237</v>
      </c>
      <c r="P96">
        <f>IFERROR(VLOOKUP(C96, Customers!A:C, 3, FALSE), 0)</f>
        <v>26</v>
      </c>
      <c r="Q96">
        <f t="shared" si="1"/>
        <v>0.56137254901960787</v>
      </c>
    </row>
    <row r="97" spans="1:17" x14ac:dyDescent="0.3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  <c r="L97" t="str">
        <f>VLOOKUP(D97, Products!A:C, 3, FALSE)</f>
        <v>Sports</v>
      </c>
      <c r="M97" t="str">
        <f>IFERROR(VLOOKUP(C97, Customers!A:E, 5, FALSE), "Unknown")</f>
        <v>Corporate</v>
      </c>
      <c r="N97" t="str">
        <f>VLOOKUP(E97, Sales_Reps!A:C, 3, FALSE)</f>
        <v>South</v>
      </c>
      <c r="O97">
        <f>VLOOKUP(D97, Products!A:D, 4, FALSE)</f>
        <v>516</v>
      </c>
      <c r="P97">
        <f>IFERROR(VLOOKUP(C97, Customers!A:C, 3, FALSE), 0)</f>
        <v>38</v>
      </c>
      <c r="Q97">
        <f t="shared" si="1"/>
        <v>0.4891089108910891</v>
      </c>
    </row>
    <row r="98" spans="1:17" x14ac:dyDescent="0.3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  <c r="L98" t="str">
        <f>VLOOKUP(D98, Products!A:C, 3, FALSE)</f>
        <v>Home</v>
      </c>
      <c r="M98" t="str">
        <f>IFERROR(VLOOKUP(C98, Customers!A:E, 5, FALSE), "Unknown")</f>
        <v>Retail</v>
      </c>
      <c r="N98" t="str">
        <f>VLOOKUP(E98, Sales_Reps!A:C, 3, FALSE)</f>
        <v>West</v>
      </c>
      <c r="O98">
        <f>VLOOKUP(D98, Products!A:D, 4, FALSE)</f>
        <v>2135</v>
      </c>
      <c r="P98">
        <f>IFERROR(VLOOKUP(C98, Customers!A:C, 3, FALSE), 0)</f>
        <v>53</v>
      </c>
      <c r="Q98">
        <f t="shared" si="1"/>
        <v>0.42761394101876676</v>
      </c>
    </row>
    <row r="99" spans="1:17" x14ac:dyDescent="0.3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  <c r="L99" t="str">
        <f>VLOOKUP(D99, Products!A:C, 3, FALSE)</f>
        <v>Electronics</v>
      </c>
      <c r="M99" t="str">
        <f>IFERROR(VLOOKUP(C99, Customers!A:E, 5, FALSE), "Unknown")</f>
        <v>Retail</v>
      </c>
      <c r="N99" t="str">
        <f>VLOOKUP(E99, Sales_Reps!A:C, 3, FALSE)</f>
        <v>West</v>
      </c>
      <c r="O99">
        <f>VLOOKUP(D99, Products!A:D, 4, FALSE)</f>
        <v>1052</v>
      </c>
      <c r="P99">
        <f>IFERROR(VLOOKUP(C99, Customers!A:C, 3, FALSE), 0)</f>
        <v>41</v>
      </c>
      <c r="Q99">
        <f t="shared" si="1"/>
        <v>0.5953846153846154</v>
      </c>
    </row>
    <row r="100" spans="1:17" x14ac:dyDescent="0.3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  <c r="L100" t="str">
        <f>VLOOKUP(D100, Products!A:C, 3, FALSE)</f>
        <v>Grocery</v>
      </c>
      <c r="M100" t="str">
        <f>IFERROR(VLOOKUP(C100, Customers!A:E, 5, FALSE), "Unknown")</f>
        <v>SMB</v>
      </c>
      <c r="N100" t="str">
        <f>VLOOKUP(E100, Sales_Reps!A:C, 3, FALSE)</f>
        <v>North</v>
      </c>
      <c r="O100">
        <f>VLOOKUP(D100, Products!A:D, 4, FALSE)</f>
        <v>2911</v>
      </c>
      <c r="P100">
        <f>IFERROR(VLOOKUP(C100, Customers!A:C, 3, FALSE), 0)</f>
        <v>22</v>
      </c>
      <c r="Q100">
        <f t="shared" si="1"/>
        <v>0.28300492610837441</v>
      </c>
    </row>
    <row r="101" spans="1:17" x14ac:dyDescent="0.3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  <c r="L101" t="str">
        <f>VLOOKUP(D101, Products!A:C, 3, FALSE)</f>
        <v>Beauty</v>
      </c>
      <c r="M101" t="str">
        <f>IFERROR(VLOOKUP(C101, Customers!A:E, 5, FALSE), "Unknown")</f>
        <v>Retail</v>
      </c>
      <c r="N101" t="str">
        <f>VLOOKUP(E101, Sales_Reps!A:C, 3, FALSE)</f>
        <v>West</v>
      </c>
      <c r="O101">
        <f>VLOOKUP(D101, Products!A:D, 4, FALSE)</f>
        <v>2617</v>
      </c>
      <c r="P101">
        <f>IFERROR(VLOOKUP(C101, Customers!A:C, 3, FALSE), 0)</f>
        <v>60</v>
      </c>
      <c r="Q101">
        <f t="shared" si="1"/>
        <v>0.56957236842105263</v>
      </c>
    </row>
    <row r="102" spans="1:17" x14ac:dyDescent="0.3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  <c r="L102" t="str">
        <f>VLOOKUP(D102, Products!A:C, 3, FALSE)</f>
        <v>Apparel</v>
      </c>
      <c r="M102" t="str">
        <f>IFERROR(VLOOKUP(C102, Customers!A:E, 5, FALSE), "Unknown")</f>
        <v>SMB</v>
      </c>
      <c r="N102" t="str">
        <f>VLOOKUP(E102, Sales_Reps!A:C, 3, FALSE)</f>
        <v>West</v>
      </c>
      <c r="O102">
        <f>VLOOKUP(D102, Products!A:D, 4, FALSE)</f>
        <v>1075</v>
      </c>
      <c r="P102">
        <f>IFERROR(VLOOKUP(C102, Customers!A:C, 3, FALSE), 0)</f>
        <v>44</v>
      </c>
      <c r="Q102">
        <f t="shared" si="1"/>
        <v>0.57171314741035861</v>
      </c>
    </row>
    <row r="103" spans="1:17" x14ac:dyDescent="0.3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  <c r="L103" t="str">
        <f>VLOOKUP(D103, Products!A:C, 3, FALSE)</f>
        <v>Home</v>
      </c>
      <c r="M103" t="str">
        <f>IFERROR(VLOOKUP(C103, Customers!A:E, 5, FALSE), "Unknown")</f>
        <v>SMB</v>
      </c>
      <c r="N103" t="str">
        <f>VLOOKUP(E103, Sales_Reps!A:C, 3, FALSE)</f>
        <v>West</v>
      </c>
      <c r="O103">
        <f>VLOOKUP(D103, Products!A:D, 4, FALSE)</f>
        <v>1556</v>
      </c>
      <c r="P103">
        <f>IFERROR(VLOOKUP(C103, Customers!A:C, 3, FALSE), 0)</f>
        <v>38</v>
      </c>
      <c r="Q103">
        <f t="shared" si="1"/>
        <v>0.52123076923076928</v>
      </c>
    </row>
    <row r="104" spans="1:17" x14ac:dyDescent="0.3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  <c r="L104" t="str">
        <f>VLOOKUP(D104, Products!A:C, 3, FALSE)</f>
        <v>Sports</v>
      </c>
      <c r="M104" t="str">
        <f>IFERROR(VLOOKUP(C104, Customers!A:E, 5, FALSE), "Unknown")</f>
        <v>SMB</v>
      </c>
      <c r="N104" t="str">
        <f>VLOOKUP(E104, Sales_Reps!A:C, 3, FALSE)</f>
        <v>North</v>
      </c>
      <c r="O104">
        <f>VLOOKUP(D104, Products!A:D, 4, FALSE)</f>
        <v>2265</v>
      </c>
      <c r="P104">
        <f>IFERROR(VLOOKUP(C104, Customers!A:C, 3, FALSE), 0)</f>
        <v>28</v>
      </c>
      <c r="Q104">
        <f t="shared" si="1"/>
        <v>0.58133086876155271</v>
      </c>
    </row>
    <row r="105" spans="1:17" x14ac:dyDescent="0.3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  <c r="L105" t="str">
        <f>VLOOKUP(D105, Products!A:C, 3, FALSE)</f>
        <v>Electronics</v>
      </c>
      <c r="M105" t="str">
        <f>IFERROR(VLOOKUP(C105, Customers!A:E, 5, FALSE), "Unknown")</f>
        <v>Corporate</v>
      </c>
      <c r="N105" t="str">
        <f>VLOOKUP(E105, Sales_Reps!A:C, 3, FALSE)</f>
        <v>East</v>
      </c>
      <c r="O105">
        <f>VLOOKUP(D105, Products!A:D, 4, FALSE)</f>
        <v>1665</v>
      </c>
      <c r="P105">
        <f>IFERROR(VLOOKUP(C105, Customers!A:C, 3, FALSE), 0)</f>
        <v>51</v>
      </c>
      <c r="Q105">
        <f t="shared" si="1"/>
        <v>0.53361344537815125</v>
      </c>
    </row>
    <row r="106" spans="1:17" x14ac:dyDescent="0.3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  <c r="L106" t="str">
        <f>VLOOKUP(D106, Products!A:C, 3, FALSE)</f>
        <v>Electronics</v>
      </c>
      <c r="M106" t="str">
        <f>IFERROR(VLOOKUP(C106, Customers!A:E, 5, FALSE), "Unknown")</f>
        <v>SMB</v>
      </c>
      <c r="N106" t="str">
        <f>VLOOKUP(E106, Sales_Reps!A:C, 3, FALSE)</f>
        <v>North</v>
      </c>
      <c r="O106">
        <f>VLOOKUP(D106, Products!A:D, 4, FALSE)</f>
        <v>2405</v>
      </c>
      <c r="P106">
        <f>IFERROR(VLOOKUP(C106, Customers!A:C, 3, FALSE), 0)</f>
        <v>22</v>
      </c>
      <c r="Q106">
        <f t="shared" si="1"/>
        <v>0.54878048780487809</v>
      </c>
    </row>
    <row r="107" spans="1:17" x14ac:dyDescent="0.3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  <c r="L107" t="str">
        <f>VLOOKUP(D107, Products!A:C, 3, FALSE)</f>
        <v>Grocery</v>
      </c>
      <c r="M107" t="str">
        <f>IFERROR(VLOOKUP(C107, Customers!A:E, 5, FALSE), "Unknown")</f>
        <v>Retail</v>
      </c>
      <c r="N107" t="str">
        <f>VLOOKUP(E107, Sales_Reps!A:C, 3, FALSE)</f>
        <v>East</v>
      </c>
      <c r="O107">
        <f>VLOOKUP(D107, Products!A:D, 4, FALSE)</f>
        <v>1182</v>
      </c>
      <c r="P107">
        <f>IFERROR(VLOOKUP(C107, Customers!A:C, 3, FALSE), 0)</f>
        <v>25</v>
      </c>
      <c r="Q107">
        <f t="shared" si="1"/>
        <v>0.50336134453781511</v>
      </c>
    </row>
    <row r="108" spans="1:17" x14ac:dyDescent="0.3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  <c r="L108" t="str">
        <f>VLOOKUP(D108, Products!A:C, 3, FALSE)</f>
        <v>Sports</v>
      </c>
      <c r="M108" t="str">
        <f>IFERROR(VLOOKUP(C108, Customers!A:E, 5, FALSE), "Unknown")</f>
        <v>SMB</v>
      </c>
      <c r="N108" t="str">
        <f>VLOOKUP(E108, Sales_Reps!A:C, 3, FALSE)</f>
        <v>West</v>
      </c>
      <c r="O108">
        <f>VLOOKUP(D108, Products!A:D, 4, FALSE)</f>
        <v>516</v>
      </c>
      <c r="P108">
        <f>IFERROR(VLOOKUP(C108, Customers!A:C, 3, FALSE), 0)</f>
        <v>62</v>
      </c>
      <c r="Q108">
        <f t="shared" si="1"/>
        <v>0.4891089108910891</v>
      </c>
    </row>
    <row r="109" spans="1:17" x14ac:dyDescent="0.3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  <c r="L109" t="str">
        <f>VLOOKUP(D109, Products!A:C, 3, FALSE)</f>
        <v>Grocery</v>
      </c>
      <c r="M109" t="str">
        <f>IFERROR(VLOOKUP(C109, Customers!A:E, 5, FALSE), "Unknown")</f>
        <v>Retail</v>
      </c>
      <c r="N109" t="str">
        <f>VLOOKUP(E109, Sales_Reps!A:C, 3, FALSE)</f>
        <v>West</v>
      </c>
      <c r="O109">
        <f>VLOOKUP(D109, Products!A:D, 4, FALSE)</f>
        <v>2214</v>
      </c>
      <c r="P109">
        <f>IFERROR(VLOOKUP(C109, Customers!A:C, 3, FALSE), 0)</f>
        <v>42</v>
      </c>
      <c r="Q109">
        <f t="shared" si="1"/>
        <v>0.39508196721311473</v>
      </c>
    </row>
    <row r="110" spans="1:17" x14ac:dyDescent="0.3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  <c r="L110" t="str">
        <f>VLOOKUP(D110, Products!A:C, 3, FALSE)</f>
        <v>Grocery</v>
      </c>
      <c r="M110" t="str">
        <f>IFERROR(VLOOKUP(C110, Customers!A:E, 5, FALSE), "Unknown")</f>
        <v>Retail</v>
      </c>
      <c r="N110" t="str">
        <f>VLOOKUP(E110, Sales_Reps!A:C, 3, FALSE)</f>
        <v>South</v>
      </c>
      <c r="O110">
        <f>VLOOKUP(D110, Products!A:D, 4, FALSE)</f>
        <v>2027</v>
      </c>
      <c r="P110">
        <f>IFERROR(VLOOKUP(C110, Customers!A:C, 3, FALSE), 0)</f>
        <v>43</v>
      </c>
      <c r="Q110">
        <f t="shared" si="1"/>
        <v>0.50196560196560192</v>
      </c>
    </row>
    <row r="111" spans="1:17" x14ac:dyDescent="0.3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  <c r="L111" t="str">
        <f>VLOOKUP(D111, Products!A:C, 3, FALSE)</f>
        <v>Home</v>
      </c>
      <c r="M111" t="str">
        <f>IFERROR(VLOOKUP(C111, Customers!A:E, 5, FALSE), "Unknown")</f>
        <v>Corporate</v>
      </c>
      <c r="N111" t="str">
        <f>VLOOKUP(E111, Sales_Reps!A:C, 3, FALSE)</f>
        <v>West</v>
      </c>
      <c r="O111">
        <f>VLOOKUP(D111, Products!A:D, 4, FALSE)</f>
        <v>329</v>
      </c>
      <c r="P111">
        <f>IFERROR(VLOOKUP(C111, Customers!A:C, 3, FALSE), 0)</f>
        <v>56</v>
      </c>
      <c r="Q111">
        <f t="shared" si="1"/>
        <v>0.50151515151515147</v>
      </c>
    </row>
    <row r="112" spans="1:17" x14ac:dyDescent="0.3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  <c r="L112" t="str">
        <f>VLOOKUP(D112, Products!A:C, 3, FALSE)</f>
        <v>Home</v>
      </c>
      <c r="M112" t="str">
        <f>IFERROR(VLOOKUP(C112, Customers!A:E, 5, FALSE), "Unknown")</f>
        <v>SMB</v>
      </c>
      <c r="N112" t="str">
        <f>VLOOKUP(E112, Sales_Reps!A:C, 3, FALSE)</f>
        <v>West</v>
      </c>
      <c r="O112">
        <f>VLOOKUP(D112, Products!A:D, 4, FALSE)</f>
        <v>519</v>
      </c>
      <c r="P112">
        <f>IFERROR(VLOOKUP(C112, Customers!A:C, 3, FALSE), 0)</f>
        <v>44</v>
      </c>
      <c r="Q112">
        <f t="shared" si="1"/>
        <v>0.51944444444444449</v>
      </c>
    </row>
    <row r="113" spans="1:17" x14ac:dyDescent="0.3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  <c r="L113" t="str">
        <f>VLOOKUP(D113, Products!A:C, 3, FALSE)</f>
        <v>Apparel</v>
      </c>
      <c r="M113" t="str">
        <f>IFERROR(VLOOKUP(C113, Customers!A:E, 5, FALSE), "Unknown")</f>
        <v>SMB</v>
      </c>
      <c r="N113" t="str">
        <f>VLOOKUP(E113, Sales_Reps!A:C, 3, FALSE)</f>
        <v>North</v>
      </c>
      <c r="O113">
        <f>VLOOKUP(D113, Products!A:D, 4, FALSE)</f>
        <v>391</v>
      </c>
      <c r="P113">
        <f>IFERROR(VLOOKUP(C113, Customers!A:C, 3, FALSE), 0)</f>
        <v>53</v>
      </c>
      <c r="Q113">
        <f t="shared" si="1"/>
        <v>0.52317073170731709</v>
      </c>
    </row>
    <row r="114" spans="1:17" x14ac:dyDescent="0.3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  <c r="L114" t="str">
        <f>VLOOKUP(D114, Products!A:C, 3, FALSE)</f>
        <v>Beauty</v>
      </c>
      <c r="M114" t="str">
        <f>IFERROR(VLOOKUP(C114, Customers!A:E, 5, FALSE), "Unknown")</f>
        <v>SMB</v>
      </c>
      <c r="N114" t="str">
        <f>VLOOKUP(E114, Sales_Reps!A:C, 3, FALSE)</f>
        <v>West</v>
      </c>
      <c r="O114">
        <f>VLOOKUP(D114, Products!A:D, 4, FALSE)</f>
        <v>675</v>
      </c>
      <c r="P114">
        <f>IFERROR(VLOOKUP(C114, Customers!A:C, 3, FALSE), 0)</f>
        <v>27</v>
      </c>
      <c r="Q114">
        <f t="shared" si="1"/>
        <v>0.296875</v>
      </c>
    </row>
    <row r="115" spans="1:17" x14ac:dyDescent="0.3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  <c r="L115" t="str">
        <f>VLOOKUP(D115, Products!A:C, 3, FALSE)</f>
        <v>Electronics</v>
      </c>
      <c r="M115" t="str">
        <f>IFERROR(VLOOKUP(C115, Customers!A:E, 5, FALSE), "Unknown")</f>
        <v>Corporate</v>
      </c>
      <c r="N115" t="str">
        <f>VLOOKUP(E115, Sales_Reps!A:C, 3, FALSE)</f>
        <v>South</v>
      </c>
      <c r="O115">
        <f>VLOOKUP(D115, Products!A:D, 4, FALSE)</f>
        <v>1052</v>
      </c>
      <c r="P115">
        <f>IFERROR(VLOOKUP(C115, Customers!A:C, 3, FALSE), 0)</f>
        <v>27</v>
      </c>
      <c r="Q115">
        <f t="shared" si="1"/>
        <v>0.5953846153846154</v>
      </c>
    </row>
    <row r="116" spans="1:17" x14ac:dyDescent="0.3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  <c r="L116" t="str">
        <f>VLOOKUP(D116, Products!A:C, 3, FALSE)</f>
        <v>Home</v>
      </c>
      <c r="M116" t="str">
        <f>IFERROR(VLOOKUP(C116, Customers!A:E, 5, FALSE), "Unknown")</f>
        <v>Retail</v>
      </c>
      <c r="N116" t="str">
        <f>VLOOKUP(E116, Sales_Reps!A:C, 3, FALSE)</f>
        <v>West</v>
      </c>
      <c r="O116">
        <f>VLOOKUP(D116, Products!A:D, 4, FALSE)</f>
        <v>1143</v>
      </c>
      <c r="P116">
        <f>IFERROR(VLOOKUP(C116, Customers!A:C, 3, FALSE), 0)</f>
        <v>63</v>
      </c>
      <c r="Q116">
        <f t="shared" si="1"/>
        <v>0.43694581280788175</v>
      </c>
    </row>
    <row r="117" spans="1:17" x14ac:dyDescent="0.3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  <c r="L117" t="str">
        <f>VLOOKUP(D117, Products!A:C, 3, FALSE)</f>
        <v>Beauty</v>
      </c>
      <c r="M117" t="str">
        <f>IFERROR(VLOOKUP(C117, Customers!A:E, 5, FALSE), "Unknown")</f>
        <v>Retail</v>
      </c>
      <c r="N117" t="str">
        <f>VLOOKUP(E117, Sales_Reps!A:C, 3, FALSE)</f>
        <v>West</v>
      </c>
      <c r="O117">
        <f>VLOOKUP(D117, Products!A:D, 4, FALSE)</f>
        <v>1219</v>
      </c>
      <c r="P117">
        <f>IFERROR(VLOOKUP(C117, Customers!A:C, 3, FALSE), 0)</f>
        <v>23</v>
      </c>
      <c r="Q117">
        <f t="shared" si="1"/>
        <v>0.46768558951965067</v>
      </c>
    </row>
    <row r="118" spans="1:17" x14ac:dyDescent="0.3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  <c r="L118" t="str">
        <f>VLOOKUP(D118, Products!A:C, 3, FALSE)</f>
        <v>Home</v>
      </c>
      <c r="M118" t="str">
        <f>IFERROR(VLOOKUP(C118, Customers!A:E, 5, FALSE), "Unknown")</f>
        <v>Retail</v>
      </c>
      <c r="N118" t="str">
        <f>VLOOKUP(E118, Sales_Reps!A:C, 3, FALSE)</f>
        <v>West</v>
      </c>
      <c r="O118">
        <f>VLOOKUP(D118, Products!A:D, 4, FALSE)</f>
        <v>2135</v>
      </c>
      <c r="P118">
        <f>IFERROR(VLOOKUP(C118, Customers!A:C, 3, FALSE), 0)</f>
        <v>44</v>
      </c>
      <c r="Q118">
        <f t="shared" si="1"/>
        <v>0.42761394101876676</v>
      </c>
    </row>
    <row r="119" spans="1:17" x14ac:dyDescent="0.3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  <c r="L119" t="str">
        <f>VLOOKUP(D119, Products!A:C, 3, FALSE)</f>
        <v>Electronics</v>
      </c>
      <c r="M119" t="str">
        <f>IFERROR(VLOOKUP(C119, Customers!A:E, 5, FALSE), "Unknown")</f>
        <v>SMB</v>
      </c>
      <c r="N119" t="str">
        <f>VLOOKUP(E119, Sales_Reps!A:C, 3, FALSE)</f>
        <v>South</v>
      </c>
      <c r="O119">
        <f>VLOOKUP(D119, Products!A:D, 4, FALSE)</f>
        <v>128</v>
      </c>
      <c r="P119">
        <f>IFERROR(VLOOKUP(C119, Customers!A:C, 3, FALSE), 0)</f>
        <v>54</v>
      </c>
      <c r="Q119">
        <f t="shared" si="1"/>
        <v>0.57333333333333336</v>
      </c>
    </row>
    <row r="120" spans="1:17" x14ac:dyDescent="0.3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  <c r="L120" t="str">
        <f>VLOOKUP(D120, Products!A:C, 3, FALSE)</f>
        <v>Electronics</v>
      </c>
      <c r="M120" t="str">
        <f>IFERROR(VLOOKUP(C120, Customers!A:E, 5, FALSE), "Unknown")</f>
        <v>Retail</v>
      </c>
      <c r="N120" t="str">
        <f>VLOOKUP(E120, Sales_Reps!A:C, 3, FALSE)</f>
        <v>South</v>
      </c>
      <c r="O120">
        <f>VLOOKUP(D120, Products!A:D, 4, FALSE)</f>
        <v>128</v>
      </c>
      <c r="P120">
        <f>IFERROR(VLOOKUP(C120, Customers!A:C, 3, FALSE), 0)</f>
        <v>50</v>
      </c>
      <c r="Q120">
        <f t="shared" si="1"/>
        <v>0.57333333333333336</v>
      </c>
    </row>
    <row r="121" spans="1:17" x14ac:dyDescent="0.3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  <c r="L121" t="str">
        <f>VLOOKUP(D121, Products!A:C, 3, FALSE)</f>
        <v>Beauty</v>
      </c>
      <c r="M121" t="str">
        <f>IFERROR(VLOOKUP(C121, Customers!A:E, 5, FALSE), "Unknown")</f>
        <v>SMB</v>
      </c>
      <c r="N121" t="str">
        <f>VLOOKUP(E121, Sales_Reps!A:C, 3, FALSE)</f>
        <v>North</v>
      </c>
      <c r="O121">
        <f>VLOOKUP(D121, Products!A:D, 4, FALSE)</f>
        <v>1728</v>
      </c>
      <c r="P121">
        <f>IFERROR(VLOOKUP(C121, Customers!A:C, 3, FALSE), 0)</f>
        <v>28</v>
      </c>
      <c r="Q121">
        <f t="shared" si="1"/>
        <v>0.48417910447761192</v>
      </c>
    </row>
    <row r="122" spans="1:17" x14ac:dyDescent="0.3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  <c r="L122" t="str">
        <f>VLOOKUP(D122, Products!A:C, 3, FALSE)</f>
        <v>Electronics</v>
      </c>
      <c r="M122" t="str">
        <f>IFERROR(VLOOKUP(C122, Customers!A:E, 5, FALSE), "Unknown")</f>
        <v>SMB</v>
      </c>
      <c r="N122" t="str">
        <f>VLOOKUP(E122, Sales_Reps!A:C, 3, FALSE)</f>
        <v>North</v>
      </c>
      <c r="O122">
        <f>VLOOKUP(D122, Products!A:D, 4, FALSE)</f>
        <v>2405</v>
      </c>
      <c r="P122">
        <f>IFERROR(VLOOKUP(C122, Customers!A:C, 3, FALSE), 0)</f>
        <v>46</v>
      </c>
      <c r="Q122">
        <f t="shared" si="1"/>
        <v>0.54878048780487809</v>
      </c>
    </row>
    <row r="123" spans="1:17" x14ac:dyDescent="0.3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  <c r="L123" t="str">
        <f>VLOOKUP(D123, Products!A:C, 3, FALSE)</f>
        <v>Apparel</v>
      </c>
      <c r="M123" t="str">
        <f>IFERROR(VLOOKUP(C123, Customers!A:E, 5, FALSE), "Unknown")</f>
        <v>Retail</v>
      </c>
      <c r="N123" t="str">
        <f>VLOOKUP(E123, Sales_Reps!A:C, 3, FALSE)</f>
        <v>North</v>
      </c>
      <c r="O123">
        <f>VLOOKUP(D123, Products!A:D, 4, FALSE)</f>
        <v>2509</v>
      </c>
      <c r="P123">
        <f>IFERROR(VLOOKUP(C123, Customers!A:C, 3, FALSE), 0)</f>
        <v>30</v>
      </c>
      <c r="Q123">
        <f t="shared" si="1"/>
        <v>0.3069060773480663</v>
      </c>
    </row>
    <row r="124" spans="1:17" x14ac:dyDescent="0.3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  <c r="L124" t="str">
        <f>VLOOKUP(D124, Products!A:C, 3, FALSE)</f>
        <v>Apparel</v>
      </c>
      <c r="M124" t="str">
        <f>IFERROR(VLOOKUP(C124, Customers!A:E, 5, FALSE), "Unknown")</f>
        <v>SMB</v>
      </c>
      <c r="N124" t="str">
        <f>VLOOKUP(E124, Sales_Reps!A:C, 3, FALSE)</f>
        <v>North</v>
      </c>
      <c r="O124">
        <f>VLOOKUP(D124, Products!A:D, 4, FALSE)</f>
        <v>2509</v>
      </c>
      <c r="P124">
        <f>IFERROR(VLOOKUP(C124, Customers!A:C, 3, FALSE), 0)</f>
        <v>53</v>
      </c>
      <c r="Q124">
        <f t="shared" si="1"/>
        <v>0.3069060773480663</v>
      </c>
    </row>
    <row r="125" spans="1:17" x14ac:dyDescent="0.3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  <c r="L125" t="str">
        <f>VLOOKUP(D125, Products!A:C, 3, FALSE)</f>
        <v>Sports</v>
      </c>
      <c r="M125" t="str">
        <f>IFERROR(VLOOKUP(C125, Customers!A:E, 5, FALSE), "Unknown")</f>
        <v>SMB</v>
      </c>
      <c r="N125" t="str">
        <f>VLOOKUP(E125, Sales_Reps!A:C, 3, FALSE)</f>
        <v>North</v>
      </c>
      <c r="O125">
        <f>VLOOKUP(D125, Products!A:D, 4, FALSE)</f>
        <v>705</v>
      </c>
      <c r="P125">
        <f>IFERROR(VLOOKUP(C125, Customers!A:C, 3, FALSE), 0)</f>
        <v>51</v>
      </c>
      <c r="Q125">
        <f t="shared" si="1"/>
        <v>0.265625</v>
      </c>
    </row>
    <row r="126" spans="1:17" x14ac:dyDescent="0.3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  <c r="L126" t="str">
        <f>VLOOKUP(D126, Products!A:C, 3, FALSE)</f>
        <v>Beauty</v>
      </c>
      <c r="M126" t="str">
        <f>IFERROR(VLOOKUP(C126, Customers!A:E, 5, FALSE), "Unknown")</f>
        <v>Retail</v>
      </c>
      <c r="N126" t="str">
        <f>VLOOKUP(E126, Sales_Reps!A:C, 3, FALSE)</f>
        <v>West</v>
      </c>
      <c r="O126">
        <f>VLOOKUP(D126, Products!A:D, 4, FALSE)</f>
        <v>1222</v>
      </c>
      <c r="P126">
        <f>IFERROR(VLOOKUP(C126, Customers!A:C, 3, FALSE), 0)</f>
        <v>59</v>
      </c>
      <c r="Q126">
        <f t="shared" si="1"/>
        <v>0.2593939393939394</v>
      </c>
    </row>
    <row r="127" spans="1:17" x14ac:dyDescent="0.3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  <c r="L127" t="str">
        <f>VLOOKUP(D127, Products!A:C, 3, FALSE)</f>
        <v>Beauty</v>
      </c>
      <c r="M127" t="str">
        <f>IFERROR(VLOOKUP(C127, Customers!A:E, 5, FALSE), "Unknown")</f>
        <v>Corporate</v>
      </c>
      <c r="N127" t="str">
        <f>VLOOKUP(E127, Sales_Reps!A:C, 3, FALSE)</f>
        <v>South</v>
      </c>
      <c r="O127">
        <f>VLOOKUP(D127, Products!A:D, 4, FALSE)</f>
        <v>675</v>
      </c>
      <c r="P127">
        <f>IFERROR(VLOOKUP(C127, Customers!A:C, 3, FALSE), 0)</f>
        <v>24</v>
      </c>
      <c r="Q127">
        <f t="shared" si="1"/>
        <v>0.296875</v>
      </c>
    </row>
    <row r="128" spans="1:17" x14ac:dyDescent="0.3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  <c r="L128" t="str">
        <f>VLOOKUP(D128, Products!A:C, 3, FALSE)</f>
        <v>Electronics</v>
      </c>
      <c r="M128" t="str">
        <f>IFERROR(VLOOKUP(C128, Customers!A:E, 5, FALSE), "Unknown")</f>
        <v>SMB</v>
      </c>
      <c r="N128" t="str">
        <f>VLOOKUP(E128, Sales_Reps!A:C, 3, FALSE)</f>
        <v>North</v>
      </c>
      <c r="O128">
        <f>VLOOKUP(D128, Products!A:D, 4, FALSE)</f>
        <v>2865</v>
      </c>
      <c r="P128">
        <f>IFERROR(VLOOKUP(C128, Customers!A:C, 3, FALSE), 0)</f>
        <v>53</v>
      </c>
      <c r="Q128">
        <f t="shared" si="1"/>
        <v>0.27833753148614609</v>
      </c>
    </row>
    <row r="129" spans="1:17" x14ac:dyDescent="0.3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  <c r="L129" t="str">
        <f>VLOOKUP(D129, Products!A:C, 3, FALSE)</f>
        <v>Grocery</v>
      </c>
      <c r="M129" t="str">
        <f>IFERROR(VLOOKUP(C129, Customers!A:E, 5, FALSE), "Unknown")</f>
        <v>Retail</v>
      </c>
      <c r="N129" t="str">
        <f>VLOOKUP(E129, Sales_Reps!A:C, 3, FALSE)</f>
        <v>North</v>
      </c>
      <c r="O129">
        <f>VLOOKUP(D129, Products!A:D, 4, FALSE)</f>
        <v>434</v>
      </c>
      <c r="P129">
        <f>IFERROR(VLOOKUP(C129, Customers!A:C, 3, FALSE), 0)</f>
        <v>29</v>
      </c>
      <c r="Q129">
        <f t="shared" si="1"/>
        <v>0.5525773195876289</v>
      </c>
    </row>
    <row r="130" spans="1:17" x14ac:dyDescent="0.3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  <c r="L130" t="str">
        <f>VLOOKUP(D130, Products!A:C, 3, FALSE)</f>
        <v>Home</v>
      </c>
      <c r="M130" t="str">
        <f>IFERROR(VLOOKUP(C130, Customers!A:E, 5, FALSE), "Unknown")</f>
        <v>Retail</v>
      </c>
      <c r="N130" t="str">
        <f>VLOOKUP(E130, Sales_Reps!A:C, 3, FALSE)</f>
        <v>North</v>
      </c>
      <c r="O130">
        <f>VLOOKUP(D130, Products!A:D, 4, FALSE)</f>
        <v>1143</v>
      </c>
      <c r="P130">
        <f>IFERROR(VLOOKUP(C130, Customers!A:C, 3, FALSE), 0)</f>
        <v>61</v>
      </c>
      <c r="Q130">
        <f t="shared" si="1"/>
        <v>0.43694581280788175</v>
      </c>
    </row>
    <row r="131" spans="1:17" x14ac:dyDescent="0.3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  <c r="L131" t="str">
        <f>VLOOKUP(D131, Products!A:C, 3, FALSE)</f>
        <v>Grocery</v>
      </c>
      <c r="M131" t="str">
        <f>IFERROR(VLOOKUP(C131, Customers!A:E, 5, FALSE), "Unknown")</f>
        <v>Retail</v>
      </c>
      <c r="N131" t="str">
        <f>VLOOKUP(E131, Sales_Reps!A:C, 3, FALSE)</f>
        <v>East</v>
      </c>
      <c r="O131">
        <f>VLOOKUP(D131, Products!A:D, 4, FALSE)</f>
        <v>1203</v>
      </c>
      <c r="P131">
        <f>IFERROR(VLOOKUP(C131, Customers!A:C, 3, FALSE), 0)</f>
        <v>22</v>
      </c>
      <c r="Q131">
        <f t="shared" ref="Q131:Q194" si="2">(G131 - O131) / G131</f>
        <v>0.47004405286343615</v>
      </c>
    </row>
    <row r="132" spans="1:17" x14ac:dyDescent="0.3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  <c r="L132" t="str">
        <f>VLOOKUP(D132, Products!A:C, 3, FALSE)</f>
        <v>Beauty</v>
      </c>
      <c r="M132" t="str">
        <f>IFERROR(VLOOKUP(C132, Customers!A:E, 5, FALSE), "Unknown")</f>
        <v>Corporate</v>
      </c>
      <c r="N132" t="str">
        <f>VLOOKUP(E132, Sales_Reps!A:C, 3, FALSE)</f>
        <v>North</v>
      </c>
      <c r="O132">
        <f>VLOOKUP(D132, Products!A:D, 4, FALSE)</f>
        <v>2768</v>
      </c>
      <c r="P132">
        <f>IFERROR(VLOOKUP(C132, Customers!A:C, 3, FALSE), 0)</f>
        <v>32</v>
      </c>
      <c r="Q132">
        <f t="shared" si="2"/>
        <v>0.43278688524590164</v>
      </c>
    </row>
    <row r="133" spans="1:17" x14ac:dyDescent="0.3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  <c r="L133" t="str">
        <f>VLOOKUP(D133, Products!A:C, 3, FALSE)</f>
        <v>Electronics</v>
      </c>
      <c r="M133" t="str">
        <f>IFERROR(VLOOKUP(C133, Customers!A:E, 5, FALSE), "Unknown")</f>
        <v>Corporate</v>
      </c>
      <c r="N133" t="str">
        <f>VLOOKUP(E133, Sales_Reps!A:C, 3, FALSE)</f>
        <v>South</v>
      </c>
      <c r="O133">
        <f>VLOOKUP(D133, Products!A:D, 4, FALSE)</f>
        <v>1559</v>
      </c>
      <c r="P133">
        <f>IFERROR(VLOOKUP(C133, Customers!A:C, 3, FALSE), 0)</f>
        <v>42</v>
      </c>
      <c r="Q133">
        <f t="shared" si="2"/>
        <v>0.59715762273901807</v>
      </c>
    </row>
    <row r="134" spans="1:17" x14ac:dyDescent="0.3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  <c r="L134" t="str">
        <f>VLOOKUP(D134, Products!A:C, 3, FALSE)</f>
        <v>Beauty</v>
      </c>
      <c r="M134" t="str">
        <f>IFERROR(VLOOKUP(C134, Customers!A:E, 5, FALSE), "Unknown")</f>
        <v>Retail</v>
      </c>
      <c r="N134" t="str">
        <f>VLOOKUP(E134, Sales_Reps!A:C, 3, FALSE)</f>
        <v>North</v>
      </c>
      <c r="O134">
        <f>VLOOKUP(D134, Products!A:D, 4, FALSE)</f>
        <v>1219</v>
      </c>
      <c r="P134">
        <f>IFERROR(VLOOKUP(C134, Customers!A:C, 3, FALSE), 0)</f>
        <v>22</v>
      </c>
      <c r="Q134">
        <f t="shared" si="2"/>
        <v>0.46768558951965067</v>
      </c>
    </row>
    <row r="135" spans="1:17" x14ac:dyDescent="0.3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  <c r="L135" t="str">
        <f>VLOOKUP(D135, Products!A:C, 3, FALSE)</f>
        <v>Grocery</v>
      </c>
      <c r="M135" t="str">
        <f>IFERROR(VLOOKUP(C135, Customers!A:E, 5, FALSE), "Unknown")</f>
        <v>Retail</v>
      </c>
      <c r="N135" t="str">
        <f>VLOOKUP(E135, Sales_Reps!A:C, 3, FALSE)</f>
        <v>East</v>
      </c>
      <c r="O135">
        <f>VLOOKUP(D135, Products!A:D, 4, FALSE)</f>
        <v>1182</v>
      </c>
      <c r="P135">
        <f>IFERROR(VLOOKUP(C135, Customers!A:C, 3, FALSE), 0)</f>
        <v>44</v>
      </c>
      <c r="Q135">
        <f t="shared" si="2"/>
        <v>0.50336134453781511</v>
      </c>
    </row>
    <row r="136" spans="1:17" x14ac:dyDescent="0.3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  <c r="L136" t="str">
        <f>VLOOKUP(D136, Products!A:C, 3, FALSE)</f>
        <v>Grocery</v>
      </c>
      <c r="M136" t="str">
        <f>IFERROR(VLOOKUP(C136, Customers!A:E, 5, FALSE), "Unknown")</f>
        <v>SMB</v>
      </c>
      <c r="N136" t="str">
        <f>VLOOKUP(E136, Sales_Reps!A:C, 3, FALSE)</f>
        <v>South</v>
      </c>
      <c r="O136">
        <f>VLOOKUP(D136, Products!A:D, 4, FALSE)</f>
        <v>1010</v>
      </c>
      <c r="P136">
        <f>IFERROR(VLOOKUP(C136, Customers!A:C, 3, FALSE), 0)</f>
        <v>64</v>
      </c>
      <c r="Q136">
        <f t="shared" si="2"/>
        <v>0.54298642533936647</v>
      </c>
    </row>
    <row r="137" spans="1:17" x14ac:dyDescent="0.3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  <c r="L137" t="str">
        <f>VLOOKUP(D137, Products!A:C, 3, FALSE)</f>
        <v>Electronics</v>
      </c>
      <c r="M137" t="str">
        <f>IFERROR(VLOOKUP(C137, Customers!A:E, 5, FALSE), "Unknown")</f>
        <v>SMB</v>
      </c>
      <c r="N137" t="str">
        <f>VLOOKUP(E137, Sales_Reps!A:C, 3, FALSE)</f>
        <v>East</v>
      </c>
      <c r="O137">
        <f>VLOOKUP(D137, Products!A:D, 4, FALSE)</f>
        <v>2405</v>
      </c>
      <c r="P137">
        <f>IFERROR(VLOOKUP(C137, Customers!A:C, 3, FALSE), 0)</f>
        <v>29</v>
      </c>
      <c r="Q137">
        <f t="shared" si="2"/>
        <v>0.54878048780487809</v>
      </c>
    </row>
    <row r="138" spans="1:17" x14ac:dyDescent="0.3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  <c r="L138" t="str">
        <f>VLOOKUP(D138, Products!A:C, 3, FALSE)</f>
        <v>Electronics</v>
      </c>
      <c r="M138" t="str">
        <f>IFERROR(VLOOKUP(C138, Customers!A:E, 5, FALSE), "Unknown")</f>
        <v>SMB</v>
      </c>
      <c r="N138" t="str">
        <f>VLOOKUP(E138, Sales_Reps!A:C, 3, FALSE)</f>
        <v>East</v>
      </c>
      <c r="O138">
        <f>VLOOKUP(D138, Products!A:D, 4, FALSE)</f>
        <v>2865</v>
      </c>
      <c r="P138">
        <f>IFERROR(VLOOKUP(C138, Customers!A:C, 3, FALSE), 0)</f>
        <v>64</v>
      </c>
      <c r="Q138">
        <f t="shared" si="2"/>
        <v>0.27833753148614609</v>
      </c>
    </row>
    <row r="139" spans="1:17" x14ac:dyDescent="0.3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  <c r="L139" t="str">
        <f>VLOOKUP(D139, Products!A:C, 3, FALSE)</f>
        <v>Apparel</v>
      </c>
      <c r="M139" t="str">
        <f>IFERROR(VLOOKUP(C139, Customers!A:E, 5, FALSE), "Unknown")</f>
        <v>Corporate</v>
      </c>
      <c r="N139" t="str">
        <f>VLOOKUP(E139, Sales_Reps!A:C, 3, FALSE)</f>
        <v>East</v>
      </c>
      <c r="O139">
        <f>VLOOKUP(D139, Products!A:D, 4, FALSE)</f>
        <v>1886</v>
      </c>
      <c r="P139">
        <f>IFERROR(VLOOKUP(C139, Customers!A:C, 3, FALSE), 0)</f>
        <v>48</v>
      </c>
      <c r="Q139">
        <f t="shared" si="2"/>
        <v>0.4031645569620253</v>
      </c>
    </row>
    <row r="140" spans="1:17" x14ac:dyDescent="0.3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  <c r="L140" t="str">
        <f>VLOOKUP(D140, Products!A:C, 3, FALSE)</f>
        <v>Sports</v>
      </c>
      <c r="M140" t="str">
        <f>IFERROR(VLOOKUP(C140, Customers!A:E, 5, FALSE), "Unknown")</f>
        <v>Retail</v>
      </c>
      <c r="N140" t="str">
        <f>VLOOKUP(E140, Sales_Reps!A:C, 3, FALSE)</f>
        <v>South</v>
      </c>
      <c r="O140">
        <f>VLOOKUP(D140, Products!A:D, 4, FALSE)</f>
        <v>147</v>
      </c>
      <c r="P140">
        <f>IFERROR(VLOOKUP(C140, Customers!A:C, 3, FALSE), 0)</f>
        <v>55</v>
      </c>
      <c r="Q140">
        <f t="shared" si="2"/>
        <v>0.22631578947368422</v>
      </c>
    </row>
    <row r="141" spans="1:17" x14ac:dyDescent="0.3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  <c r="L141" t="str">
        <f>VLOOKUP(D141, Products!A:C, 3, FALSE)</f>
        <v>Grocery</v>
      </c>
      <c r="M141" t="str">
        <f>IFERROR(VLOOKUP(C141, Customers!A:E, 5, FALSE), "Unknown")</f>
        <v>Retail</v>
      </c>
      <c r="N141" t="str">
        <f>VLOOKUP(E141, Sales_Reps!A:C, 3, FALSE)</f>
        <v>North</v>
      </c>
      <c r="O141">
        <f>VLOOKUP(D141, Products!A:D, 4, FALSE)</f>
        <v>1435</v>
      </c>
      <c r="P141">
        <f>IFERROR(VLOOKUP(C141, Customers!A:C, 3, FALSE), 0)</f>
        <v>31</v>
      </c>
      <c r="Q141">
        <f t="shared" si="2"/>
        <v>0.48007246376811596</v>
      </c>
    </row>
    <row r="142" spans="1:17" x14ac:dyDescent="0.3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  <c r="L142" t="str">
        <f>VLOOKUP(D142, Products!A:C, 3, FALSE)</f>
        <v>Grocery</v>
      </c>
      <c r="M142" t="str">
        <f>IFERROR(VLOOKUP(C142, Customers!A:E, 5, FALSE), "Unknown")</f>
        <v>Retail</v>
      </c>
      <c r="N142" t="str">
        <f>VLOOKUP(E142, Sales_Reps!A:C, 3, FALSE)</f>
        <v>East</v>
      </c>
      <c r="O142">
        <f>VLOOKUP(D142, Products!A:D, 4, FALSE)</f>
        <v>1412</v>
      </c>
      <c r="P142">
        <f>IFERROR(VLOOKUP(C142, Customers!A:C, 3, FALSE), 0)</f>
        <v>42</v>
      </c>
      <c r="Q142">
        <f t="shared" si="2"/>
        <v>0.37797356828193834</v>
      </c>
    </row>
    <row r="143" spans="1:17" x14ac:dyDescent="0.3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  <c r="L143" t="str">
        <f>VLOOKUP(D143, Products!A:C, 3, FALSE)</f>
        <v>Sports</v>
      </c>
      <c r="M143" t="str">
        <f>IFERROR(VLOOKUP(C143, Customers!A:E, 5, FALSE), "Unknown")</f>
        <v>Retail</v>
      </c>
      <c r="N143" t="str">
        <f>VLOOKUP(E143, Sales_Reps!A:C, 3, FALSE)</f>
        <v>North</v>
      </c>
      <c r="O143">
        <f>VLOOKUP(D143, Products!A:D, 4, FALSE)</f>
        <v>2265</v>
      </c>
      <c r="P143">
        <f>IFERROR(VLOOKUP(C143, Customers!A:C, 3, FALSE), 0)</f>
        <v>32</v>
      </c>
      <c r="Q143">
        <f t="shared" si="2"/>
        <v>0.58133086876155271</v>
      </c>
    </row>
    <row r="144" spans="1:17" x14ac:dyDescent="0.3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  <c r="L144" t="str">
        <f>VLOOKUP(D144, Products!A:C, 3, FALSE)</f>
        <v>Grocery</v>
      </c>
      <c r="M144" t="str">
        <f>IFERROR(VLOOKUP(C144, Customers!A:E, 5, FALSE), "Unknown")</f>
        <v>Corporate</v>
      </c>
      <c r="N144" t="str">
        <f>VLOOKUP(E144, Sales_Reps!A:C, 3, FALSE)</f>
        <v>South</v>
      </c>
      <c r="O144">
        <f>VLOOKUP(D144, Products!A:D, 4, FALSE)</f>
        <v>1203</v>
      </c>
      <c r="P144">
        <f>IFERROR(VLOOKUP(C144, Customers!A:C, 3, FALSE), 0)</f>
        <v>31</v>
      </c>
      <c r="Q144">
        <f t="shared" si="2"/>
        <v>0.47004405286343615</v>
      </c>
    </row>
    <row r="145" spans="1:17" x14ac:dyDescent="0.3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  <c r="L145" t="str">
        <f>VLOOKUP(D145, Products!A:C, 3, FALSE)</f>
        <v>Apparel</v>
      </c>
      <c r="M145" t="str">
        <f>IFERROR(VLOOKUP(C145, Customers!A:E, 5, FALSE), "Unknown")</f>
        <v>SMB</v>
      </c>
      <c r="N145" t="str">
        <f>VLOOKUP(E145, Sales_Reps!A:C, 3, FALSE)</f>
        <v>North</v>
      </c>
      <c r="O145">
        <f>VLOOKUP(D145, Products!A:D, 4, FALSE)</f>
        <v>1886</v>
      </c>
      <c r="P145">
        <f>IFERROR(VLOOKUP(C145, Customers!A:C, 3, FALSE), 0)</f>
        <v>27</v>
      </c>
      <c r="Q145">
        <f t="shared" si="2"/>
        <v>0.4031645569620253</v>
      </c>
    </row>
    <row r="146" spans="1:17" x14ac:dyDescent="0.3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  <c r="L146" t="str">
        <f>VLOOKUP(D146, Products!A:C, 3, FALSE)</f>
        <v>Grocery</v>
      </c>
      <c r="M146" t="str">
        <f>IFERROR(VLOOKUP(C146, Customers!A:E, 5, FALSE), "Unknown")</f>
        <v>SMB</v>
      </c>
      <c r="N146" t="str">
        <f>VLOOKUP(E146, Sales_Reps!A:C, 3, FALSE)</f>
        <v>West</v>
      </c>
      <c r="O146">
        <f>VLOOKUP(D146, Products!A:D, 4, FALSE)</f>
        <v>2911</v>
      </c>
      <c r="P146">
        <f>IFERROR(VLOOKUP(C146, Customers!A:C, 3, FALSE), 0)</f>
        <v>29</v>
      </c>
      <c r="Q146">
        <f t="shared" si="2"/>
        <v>0.28300492610837441</v>
      </c>
    </row>
    <row r="147" spans="1:17" x14ac:dyDescent="0.3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  <c r="L147" t="str">
        <f>VLOOKUP(D147, Products!A:C, 3, FALSE)</f>
        <v>Apparel</v>
      </c>
      <c r="M147" t="str">
        <f>IFERROR(VLOOKUP(C147, Customers!A:E, 5, FALSE), "Unknown")</f>
        <v>Unknown</v>
      </c>
      <c r="N147" t="str">
        <f>VLOOKUP(E147, Sales_Reps!A:C, 3, FALSE)</f>
        <v>East</v>
      </c>
      <c r="O147">
        <f>VLOOKUP(D147, Products!A:D, 4, FALSE)</f>
        <v>391</v>
      </c>
      <c r="P147">
        <f>IFERROR(VLOOKUP(C147, Customers!A:C, 3, FALSE), 0)</f>
        <v>0</v>
      </c>
      <c r="Q147">
        <f t="shared" si="2"/>
        <v>0.52317073170731709</v>
      </c>
    </row>
    <row r="148" spans="1:17" x14ac:dyDescent="0.3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  <c r="L148" t="str">
        <f>VLOOKUP(D148, Products!A:C, 3, FALSE)</f>
        <v>Home</v>
      </c>
      <c r="M148" t="str">
        <f>IFERROR(VLOOKUP(C148, Customers!A:E, 5, FALSE), "Unknown")</f>
        <v>SMB</v>
      </c>
      <c r="N148" t="str">
        <f>VLOOKUP(E148, Sales_Reps!A:C, 3, FALSE)</f>
        <v>North</v>
      </c>
      <c r="O148">
        <f>VLOOKUP(D148, Products!A:D, 4, FALSE)</f>
        <v>288</v>
      </c>
      <c r="P148">
        <f>IFERROR(VLOOKUP(C148, Customers!A:C, 3, FALSE), 0)</f>
        <v>30</v>
      </c>
      <c r="Q148">
        <f t="shared" si="2"/>
        <v>0.22162162162162163</v>
      </c>
    </row>
    <row r="149" spans="1:17" x14ac:dyDescent="0.3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  <c r="L149" t="str">
        <f>VLOOKUP(D149, Products!A:C, 3, FALSE)</f>
        <v>Home</v>
      </c>
      <c r="M149" t="str">
        <f>IFERROR(VLOOKUP(C149, Customers!A:E, 5, FALSE), "Unknown")</f>
        <v>Retail</v>
      </c>
      <c r="N149" t="str">
        <f>VLOOKUP(E149, Sales_Reps!A:C, 3, FALSE)</f>
        <v>North</v>
      </c>
      <c r="O149">
        <f>VLOOKUP(D149, Products!A:D, 4, FALSE)</f>
        <v>2459</v>
      </c>
      <c r="P149">
        <f>IFERROR(VLOOKUP(C149, Customers!A:C, 3, FALSE), 0)</f>
        <v>65</v>
      </c>
      <c r="Q149">
        <f t="shared" si="2"/>
        <v>0.51594488188976373</v>
      </c>
    </row>
    <row r="150" spans="1:17" x14ac:dyDescent="0.3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  <c r="L150" t="str">
        <f>VLOOKUP(D150, Products!A:C, 3, FALSE)</f>
        <v>Grocery</v>
      </c>
      <c r="M150" t="str">
        <f>IFERROR(VLOOKUP(C150, Customers!A:E, 5, FALSE), "Unknown")</f>
        <v>SMB</v>
      </c>
      <c r="N150" t="str">
        <f>VLOOKUP(E150, Sales_Reps!A:C, 3, FALSE)</f>
        <v>South</v>
      </c>
      <c r="O150">
        <f>VLOOKUP(D150, Products!A:D, 4, FALSE)</f>
        <v>2027</v>
      </c>
      <c r="P150">
        <f>IFERROR(VLOOKUP(C150, Customers!A:C, 3, FALSE), 0)</f>
        <v>54</v>
      </c>
      <c r="Q150">
        <f t="shared" si="2"/>
        <v>0.50196560196560192</v>
      </c>
    </row>
    <row r="151" spans="1:17" x14ac:dyDescent="0.3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  <c r="L151" t="str">
        <f>VLOOKUP(D151, Products!A:C, 3, FALSE)</f>
        <v>Electronics</v>
      </c>
      <c r="M151" t="str">
        <f>IFERROR(VLOOKUP(C151, Customers!A:E, 5, FALSE), "Unknown")</f>
        <v>SMB</v>
      </c>
      <c r="N151" t="str">
        <f>VLOOKUP(E151, Sales_Reps!A:C, 3, FALSE)</f>
        <v>West</v>
      </c>
      <c r="O151">
        <f>VLOOKUP(D151, Products!A:D, 4, FALSE)</f>
        <v>128</v>
      </c>
      <c r="P151">
        <f>IFERROR(VLOOKUP(C151, Customers!A:C, 3, FALSE), 0)</f>
        <v>30</v>
      </c>
      <c r="Q151">
        <f t="shared" si="2"/>
        <v>0.57333333333333336</v>
      </c>
    </row>
    <row r="152" spans="1:17" x14ac:dyDescent="0.3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  <c r="L152" t="str">
        <f>VLOOKUP(D152, Products!A:C, 3, FALSE)</f>
        <v>Beauty</v>
      </c>
      <c r="M152" t="str">
        <f>IFERROR(VLOOKUP(C152, Customers!A:E, 5, FALSE), "Unknown")</f>
        <v>Retail</v>
      </c>
      <c r="N152" t="str">
        <f>VLOOKUP(E152, Sales_Reps!A:C, 3, FALSE)</f>
        <v>South</v>
      </c>
      <c r="O152">
        <f>VLOOKUP(D152, Products!A:D, 4, FALSE)</f>
        <v>2237</v>
      </c>
      <c r="P152">
        <f>IFERROR(VLOOKUP(C152, Customers!A:C, 3, FALSE), 0)</f>
        <v>41</v>
      </c>
      <c r="Q152">
        <f t="shared" si="2"/>
        <v>0.56137254901960787</v>
      </c>
    </row>
    <row r="153" spans="1:17" x14ac:dyDescent="0.3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  <c r="L153" t="str">
        <f>VLOOKUP(D153, Products!A:C, 3, FALSE)</f>
        <v>Home</v>
      </c>
      <c r="M153" t="str">
        <f>IFERROR(VLOOKUP(C153, Customers!A:E, 5, FALSE), "Unknown")</f>
        <v>Retail</v>
      </c>
      <c r="N153" t="str">
        <f>VLOOKUP(E153, Sales_Reps!A:C, 3, FALSE)</f>
        <v>South</v>
      </c>
      <c r="O153">
        <f>VLOOKUP(D153, Products!A:D, 4, FALSE)</f>
        <v>2549</v>
      </c>
      <c r="P153">
        <f>IFERROR(VLOOKUP(C153, Customers!A:C, 3, FALSE), 0)</f>
        <v>37</v>
      </c>
      <c r="Q153">
        <f t="shared" si="2"/>
        <v>0.53570127504553733</v>
      </c>
    </row>
    <row r="154" spans="1:17" x14ac:dyDescent="0.3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  <c r="L154" t="str">
        <f>VLOOKUP(D154, Products!A:C, 3, FALSE)</f>
        <v>Apparel</v>
      </c>
      <c r="M154" t="str">
        <f>IFERROR(VLOOKUP(C154, Customers!A:E, 5, FALSE), "Unknown")</f>
        <v>SMB</v>
      </c>
      <c r="N154" t="str">
        <f>VLOOKUP(E154, Sales_Reps!A:C, 3, FALSE)</f>
        <v>South</v>
      </c>
      <c r="O154">
        <f>VLOOKUP(D154, Products!A:D, 4, FALSE)</f>
        <v>1748</v>
      </c>
      <c r="P154">
        <f>IFERROR(VLOOKUP(C154, Customers!A:C, 3, FALSE), 0)</f>
        <v>34</v>
      </c>
      <c r="Q154">
        <f t="shared" si="2"/>
        <v>0.49333333333333335</v>
      </c>
    </row>
    <row r="155" spans="1:17" x14ac:dyDescent="0.3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  <c r="L155" t="str">
        <f>VLOOKUP(D155, Products!A:C, 3, FALSE)</f>
        <v>Grocery</v>
      </c>
      <c r="M155" t="str">
        <f>IFERROR(VLOOKUP(C155, Customers!A:E, 5, FALSE), "Unknown")</f>
        <v>Corporate</v>
      </c>
      <c r="N155" t="str">
        <f>VLOOKUP(E155, Sales_Reps!A:C, 3, FALSE)</f>
        <v>North</v>
      </c>
      <c r="O155">
        <f>VLOOKUP(D155, Products!A:D, 4, FALSE)</f>
        <v>1010</v>
      </c>
      <c r="P155">
        <f>IFERROR(VLOOKUP(C155, Customers!A:C, 3, FALSE), 0)</f>
        <v>43</v>
      </c>
      <c r="Q155">
        <f t="shared" si="2"/>
        <v>0.54298642533936647</v>
      </c>
    </row>
    <row r="156" spans="1:17" x14ac:dyDescent="0.3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  <c r="L156" t="str">
        <f>VLOOKUP(D156, Products!A:C, 3, FALSE)</f>
        <v>Home</v>
      </c>
      <c r="M156" t="str">
        <f>IFERROR(VLOOKUP(C156, Customers!A:E, 5, FALSE), "Unknown")</f>
        <v>SMB</v>
      </c>
      <c r="N156" t="str">
        <f>VLOOKUP(E156, Sales_Reps!A:C, 3, FALSE)</f>
        <v>South</v>
      </c>
      <c r="O156">
        <f>VLOOKUP(D156, Products!A:D, 4, FALSE)</f>
        <v>1556</v>
      </c>
      <c r="P156">
        <f>IFERROR(VLOOKUP(C156, Customers!A:C, 3, FALSE), 0)</f>
        <v>36</v>
      </c>
      <c r="Q156">
        <f t="shared" si="2"/>
        <v>0.52123076923076928</v>
      </c>
    </row>
    <row r="157" spans="1:17" x14ac:dyDescent="0.3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  <c r="L157" t="str">
        <f>VLOOKUP(D157, Products!A:C, 3, FALSE)</f>
        <v>Apparel</v>
      </c>
      <c r="M157" t="str">
        <f>IFERROR(VLOOKUP(C157, Customers!A:E, 5, FALSE), "Unknown")</f>
        <v>Retail</v>
      </c>
      <c r="N157" t="str">
        <f>VLOOKUP(E157, Sales_Reps!A:C, 3, FALSE)</f>
        <v>North</v>
      </c>
      <c r="O157">
        <f>VLOOKUP(D157, Products!A:D, 4, FALSE)</f>
        <v>1886</v>
      </c>
      <c r="P157">
        <f>IFERROR(VLOOKUP(C157, Customers!A:C, 3, FALSE), 0)</f>
        <v>29</v>
      </c>
      <c r="Q157">
        <f t="shared" si="2"/>
        <v>0.4031645569620253</v>
      </c>
    </row>
    <row r="158" spans="1:17" x14ac:dyDescent="0.3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  <c r="L158" t="str">
        <f>VLOOKUP(D158, Products!A:C, 3, FALSE)</f>
        <v>Electronics</v>
      </c>
      <c r="M158" t="str">
        <f>IFERROR(VLOOKUP(C158, Customers!A:E, 5, FALSE), "Unknown")</f>
        <v>SMB</v>
      </c>
      <c r="N158" t="str">
        <f>VLOOKUP(E158, Sales_Reps!A:C, 3, FALSE)</f>
        <v>West</v>
      </c>
      <c r="O158">
        <f>VLOOKUP(D158, Products!A:D, 4, FALSE)</f>
        <v>1559</v>
      </c>
      <c r="P158">
        <f>IFERROR(VLOOKUP(C158, Customers!A:C, 3, FALSE), 0)</f>
        <v>53</v>
      </c>
      <c r="Q158">
        <f t="shared" si="2"/>
        <v>0.59715762273901807</v>
      </c>
    </row>
    <row r="159" spans="1:17" x14ac:dyDescent="0.3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  <c r="L159" t="str">
        <f>VLOOKUP(D159, Products!A:C, 3, FALSE)</f>
        <v>Sports</v>
      </c>
      <c r="M159" t="str">
        <f>IFERROR(VLOOKUP(C159, Customers!A:E, 5, FALSE), "Unknown")</f>
        <v>Corporate</v>
      </c>
      <c r="N159" t="str">
        <f>VLOOKUP(E159, Sales_Reps!A:C, 3, FALSE)</f>
        <v>East</v>
      </c>
      <c r="O159">
        <f>VLOOKUP(D159, Products!A:D, 4, FALSE)</f>
        <v>1860</v>
      </c>
      <c r="P159">
        <f>IFERROR(VLOOKUP(C159, Customers!A:C, 3, FALSE), 0)</f>
        <v>37</v>
      </c>
      <c r="Q159">
        <f t="shared" si="2"/>
        <v>0.50793650793650791</v>
      </c>
    </row>
    <row r="160" spans="1:17" x14ac:dyDescent="0.3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  <c r="L160" t="str">
        <f>VLOOKUP(D160, Products!A:C, 3, FALSE)</f>
        <v>Beauty</v>
      </c>
      <c r="M160" t="str">
        <f>IFERROR(VLOOKUP(C160, Customers!A:E, 5, FALSE), "Unknown")</f>
        <v>Retail</v>
      </c>
      <c r="N160" t="str">
        <f>VLOOKUP(E160, Sales_Reps!A:C, 3, FALSE)</f>
        <v>East</v>
      </c>
      <c r="O160">
        <f>VLOOKUP(D160, Products!A:D, 4, FALSE)</f>
        <v>1626</v>
      </c>
      <c r="P160">
        <f>IFERROR(VLOOKUP(C160, Customers!A:C, 3, FALSE), 0)</f>
        <v>55</v>
      </c>
      <c r="Q160">
        <f t="shared" si="2"/>
        <v>0.46158940397350995</v>
      </c>
    </row>
    <row r="161" spans="1:17" x14ac:dyDescent="0.3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  <c r="L161" t="str">
        <f>VLOOKUP(D161, Products!A:C, 3, FALSE)</f>
        <v>Home</v>
      </c>
      <c r="M161" t="str">
        <f>IFERROR(VLOOKUP(C161, Customers!A:E, 5, FALSE), "Unknown")</f>
        <v>Retail</v>
      </c>
      <c r="N161" t="str">
        <f>VLOOKUP(E161, Sales_Reps!A:C, 3, FALSE)</f>
        <v>South</v>
      </c>
      <c r="O161">
        <f>VLOOKUP(D161, Products!A:D, 4, FALSE)</f>
        <v>2135</v>
      </c>
      <c r="P161">
        <f>IFERROR(VLOOKUP(C161, Customers!A:C, 3, FALSE), 0)</f>
        <v>61</v>
      </c>
      <c r="Q161">
        <f t="shared" si="2"/>
        <v>0.42761394101876676</v>
      </c>
    </row>
    <row r="162" spans="1:17" x14ac:dyDescent="0.3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  <c r="L162" t="str">
        <f>VLOOKUP(D162, Products!A:C, 3, FALSE)</f>
        <v>Beauty</v>
      </c>
      <c r="M162" t="str">
        <f>IFERROR(VLOOKUP(C162, Customers!A:E, 5, FALSE), "Unknown")</f>
        <v>SMB</v>
      </c>
      <c r="N162" t="str">
        <f>VLOOKUP(E162, Sales_Reps!A:C, 3, FALSE)</f>
        <v>East</v>
      </c>
      <c r="O162">
        <f>VLOOKUP(D162, Products!A:D, 4, FALSE)</f>
        <v>2768</v>
      </c>
      <c r="P162">
        <f>IFERROR(VLOOKUP(C162, Customers!A:C, 3, FALSE), 0)</f>
        <v>65</v>
      </c>
      <c r="Q162">
        <f t="shared" si="2"/>
        <v>0.43278688524590164</v>
      </c>
    </row>
    <row r="163" spans="1:17" x14ac:dyDescent="0.3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  <c r="L163" t="str">
        <f>VLOOKUP(D163, Products!A:C, 3, FALSE)</f>
        <v>Grocery</v>
      </c>
      <c r="M163" t="str">
        <f>IFERROR(VLOOKUP(C163, Customers!A:E, 5, FALSE), "Unknown")</f>
        <v>Retail</v>
      </c>
      <c r="N163" t="str">
        <f>VLOOKUP(E163, Sales_Reps!A:C, 3, FALSE)</f>
        <v>West</v>
      </c>
      <c r="O163">
        <f>VLOOKUP(D163, Products!A:D, 4, FALSE)</f>
        <v>434</v>
      </c>
      <c r="P163">
        <f>IFERROR(VLOOKUP(C163, Customers!A:C, 3, FALSE), 0)</f>
        <v>63</v>
      </c>
      <c r="Q163">
        <f t="shared" si="2"/>
        <v>0.5525773195876289</v>
      </c>
    </row>
    <row r="164" spans="1:17" x14ac:dyDescent="0.3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  <c r="L164" t="str">
        <f>VLOOKUP(D164, Products!A:C, 3, FALSE)</f>
        <v>Electronics</v>
      </c>
      <c r="M164" t="str">
        <f>IFERROR(VLOOKUP(C164, Customers!A:E, 5, FALSE), "Unknown")</f>
        <v>SMB</v>
      </c>
      <c r="N164" t="str">
        <f>VLOOKUP(E164, Sales_Reps!A:C, 3, FALSE)</f>
        <v>East</v>
      </c>
      <c r="O164">
        <f>VLOOKUP(D164, Products!A:D, 4, FALSE)</f>
        <v>1259</v>
      </c>
      <c r="P164">
        <f>IFERROR(VLOOKUP(C164, Customers!A:C, 3, FALSE), 0)</f>
        <v>43</v>
      </c>
      <c r="Q164">
        <f t="shared" si="2"/>
        <v>0.52669172932330832</v>
      </c>
    </row>
    <row r="165" spans="1:17" x14ac:dyDescent="0.3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  <c r="L165" t="str">
        <f>VLOOKUP(D165, Products!A:C, 3, FALSE)</f>
        <v>Apparel</v>
      </c>
      <c r="M165" t="str">
        <f>IFERROR(VLOOKUP(C165, Customers!A:E, 5, FALSE), "Unknown")</f>
        <v>SMB</v>
      </c>
      <c r="N165" t="str">
        <f>VLOOKUP(E165, Sales_Reps!A:C, 3, FALSE)</f>
        <v>South</v>
      </c>
      <c r="O165">
        <f>VLOOKUP(D165, Products!A:D, 4, FALSE)</f>
        <v>391</v>
      </c>
      <c r="P165">
        <f>IFERROR(VLOOKUP(C165, Customers!A:C, 3, FALSE), 0)</f>
        <v>27</v>
      </c>
      <c r="Q165">
        <f t="shared" si="2"/>
        <v>0.52317073170731709</v>
      </c>
    </row>
    <row r="166" spans="1:17" x14ac:dyDescent="0.3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  <c r="L166" t="str">
        <f>VLOOKUP(D166, Products!A:C, 3, FALSE)</f>
        <v>Home</v>
      </c>
      <c r="M166" t="str">
        <f>IFERROR(VLOOKUP(C166, Customers!A:E, 5, FALSE), "Unknown")</f>
        <v>Corporate</v>
      </c>
      <c r="N166" t="str">
        <f>VLOOKUP(E166, Sales_Reps!A:C, 3, FALSE)</f>
        <v>South</v>
      </c>
      <c r="O166">
        <f>VLOOKUP(D166, Products!A:D, 4, FALSE)</f>
        <v>1143</v>
      </c>
      <c r="P166">
        <f>IFERROR(VLOOKUP(C166, Customers!A:C, 3, FALSE), 0)</f>
        <v>35</v>
      </c>
      <c r="Q166">
        <f t="shared" si="2"/>
        <v>0.43694581280788175</v>
      </c>
    </row>
    <row r="167" spans="1:17" x14ac:dyDescent="0.3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  <c r="L167" t="str">
        <f>VLOOKUP(D167, Products!A:C, 3, FALSE)</f>
        <v>Apparel</v>
      </c>
      <c r="M167" t="str">
        <f>IFERROR(VLOOKUP(C167, Customers!A:E, 5, FALSE), "Unknown")</f>
        <v>SMB</v>
      </c>
      <c r="N167" t="str">
        <f>VLOOKUP(E167, Sales_Reps!A:C, 3, FALSE)</f>
        <v>South</v>
      </c>
      <c r="O167">
        <f>VLOOKUP(D167, Products!A:D, 4, FALSE)</f>
        <v>396</v>
      </c>
      <c r="P167">
        <f>IFERROR(VLOOKUP(C167, Customers!A:C, 3, FALSE), 0)</f>
        <v>59</v>
      </c>
      <c r="Q167">
        <f t="shared" si="2"/>
        <v>0.36129032258064514</v>
      </c>
    </row>
    <row r="168" spans="1:17" x14ac:dyDescent="0.3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  <c r="L168" t="str">
        <f>VLOOKUP(D168, Products!A:C, 3, FALSE)</f>
        <v>Grocery</v>
      </c>
      <c r="M168" t="str">
        <f>IFERROR(VLOOKUP(C168, Customers!A:E, 5, FALSE), "Unknown")</f>
        <v>SMB</v>
      </c>
      <c r="N168" t="str">
        <f>VLOOKUP(E168, Sales_Reps!A:C, 3, FALSE)</f>
        <v>East</v>
      </c>
      <c r="O168">
        <f>VLOOKUP(D168, Products!A:D, 4, FALSE)</f>
        <v>1412</v>
      </c>
      <c r="P168">
        <f>IFERROR(VLOOKUP(C168, Customers!A:C, 3, FALSE), 0)</f>
        <v>34</v>
      </c>
      <c r="Q168">
        <f t="shared" si="2"/>
        <v>0.37797356828193834</v>
      </c>
    </row>
    <row r="169" spans="1:17" x14ac:dyDescent="0.3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  <c r="L169" t="str">
        <f>VLOOKUP(D169, Products!A:C, 3, FALSE)</f>
        <v>Sports</v>
      </c>
      <c r="M169" t="str">
        <f>IFERROR(VLOOKUP(C169, Customers!A:E, 5, FALSE), "Unknown")</f>
        <v>SMB</v>
      </c>
      <c r="N169" t="str">
        <f>VLOOKUP(E169, Sales_Reps!A:C, 3, FALSE)</f>
        <v>South</v>
      </c>
      <c r="O169">
        <f>VLOOKUP(D169, Products!A:D, 4, FALSE)</f>
        <v>302</v>
      </c>
      <c r="P169">
        <f>IFERROR(VLOOKUP(C169, Customers!A:C, 3, FALSE), 0)</f>
        <v>40</v>
      </c>
      <c r="Q169">
        <f t="shared" si="2"/>
        <v>0.35744680851063831</v>
      </c>
    </row>
    <row r="170" spans="1:17" x14ac:dyDescent="0.3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  <c r="L170" t="str">
        <f>VLOOKUP(D170, Products!A:C, 3, FALSE)</f>
        <v>Electronics</v>
      </c>
      <c r="M170" t="str">
        <f>IFERROR(VLOOKUP(C170, Customers!A:E, 5, FALSE), "Unknown")</f>
        <v>Retail</v>
      </c>
      <c r="N170" t="str">
        <f>VLOOKUP(E170, Sales_Reps!A:C, 3, FALSE)</f>
        <v>North</v>
      </c>
      <c r="O170">
        <f>VLOOKUP(D170, Products!A:D, 4, FALSE)</f>
        <v>2405</v>
      </c>
      <c r="P170">
        <f>IFERROR(VLOOKUP(C170, Customers!A:C, 3, FALSE), 0)</f>
        <v>63</v>
      </c>
      <c r="Q170">
        <f t="shared" si="2"/>
        <v>0.54878048780487809</v>
      </c>
    </row>
    <row r="171" spans="1:17" x14ac:dyDescent="0.3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  <c r="L171" t="str">
        <f>VLOOKUP(D171, Products!A:C, 3, FALSE)</f>
        <v>Beauty</v>
      </c>
      <c r="M171" t="str">
        <f>IFERROR(VLOOKUP(C171, Customers!A:E, 5, FALSE), "Unknown")</f>
        <v>SMB</v>
      </c>
      <c r="N171" t="str">
        <f>VLOOKUP(E171, Sales_Reps!A:C, 3, FALSE)</f>
        <v>North</v>
      </c>
      <c r="O171">
        <f>VLOOKUP(D171, Products!A:D, 4, FALSE)</f>
        <v>2617</v>
      </c>
      <c r="P171">
        <f>IFERROR(VLOOKUP(C171, Customers!A:C, 3, FALSE), 0)</f>
        <v>49</v>
      </c>
      <c r="Q171">
        <f t="shared" si="2"/>
        <v>0.56957236842105263</v>
      </c>
    </row>
    <row r="172" spans="1:17" x14ac:dyDescent="0.3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  <c r="L172" t="str">
        <f>VLOOKUP(D172, Products!A:C, 3, FALSE)</f>
        <v>Grocery</v>
      </c>
      <c r="M172" t="str">
        <f>IFERROR(VLOOKUP(C172, Customers!A:E, 5, FALSE), "Unknown")</f>
        <v>Retail</v>
      </c>
      <c r="N172" t="str">
        <f>VLOOKUP(E172, Sales_Reps!A:C, 3, FALSE)</f>
        <v>East</v>
      </c>
      <c r="O172">
        <f>VLOOKUP(D172, Products!A:D, 4, FALSE)</f>
        <v>2436</v>
      </c>
      <c r="P172">
        <f>IFERROR(VLOOKUP(C172, Customers!A:C, 3, FALSE), 0)</f>
        <v>54</v>
      </c>
      <c r="Q172">
        <f t="shared" si="2"/>
        <v>0.35555555555555557</v>
      </c>
    </row>
    <row r="173" spans="1:17" x14ac:dyDescent="0.3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  <c r="L173" t="str">
        <f>VLOOKUP(D173, Products!A:C, 3, FALSE)</f>
        <v>Apparel</v>
      </c>
      <c r="M173" t="str">
        <f>IFERROR(VLOOKUP(C173, Customers!A:E, 5, FALSE), "Unknown")</f>
        <v>Corporate</v>
      </c>
      <c r="N173" t="str">
        <f>VLOOKUP(E173, Sales_Reps!A:C, 3, FALSE)</f>
        <v>South</v>
      </c>
      <c r="O173">
        <f>VLOOKUP(D173, Products!A:D, 4, FALSE)</f>
        <v>396</v>
      </c>
      <c r="P173">
        <f>IFERROR(VLOOKUP(C173, Customers!A:C, 3, FALSE), 0)</f>
        <v>52</v>
      </c>
      <c r="Q173">
        <f t="shared" si="2"/>
        <v>0.36129032258064514</v>
      </c>
    </row>
    <row r="174" spans="1:17" x14ac:dyDescent="0.3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  <c r="L174" t="str">
        <f>VLOOKUP(D174, Products!A:C, 3, FALSE)</f>
        <v>Apparel</v>
      </c>
      <c r="M174" t="str">
        <f>IFERROR(VLOOKUP(C174, Customers!A:E, 5, FALSE), "Unknown")</f>
        <v>Corporate</v>
      </c>
      <c r="N174" t="str">
        <f>VLOOKUP(E174, Sales_Reps!A:C, 3, FALSE)</f>
        <v>West</v>
      </c>
      <c r="O174">
        <f>VLOOKUP(D174, Products!A:D, 4, FALSE)</f>
        <v>1075</v>
      </c>
      <c r="P174">
        <f>IFERROR(VLOOKUP(C174, Customers!A:C, 3, FALSE), 0)</f>
        <v>48</v>
      </c>
      <c r="Q174">
        <f t="shared" si="2"/>
        <v>0.57171314741035861</v>
      </c>
    </row>
    <row r="175" spans="1:17" x14ac:dyDescent="0.3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  <c r="L175" t="str">
        <f>VLOOKUP(D175, Products!A:C, 3, FALSE)</f>
        <v>Apparel</v>
      </c>
      <c r="M175" t="str">
        <f>IFERROR(VLOOKUP(C175, Customers!A:E, 5, FALSE), "Unknown")</f>
        <v>Retail</v>
      </c>
      <c r="N175" t="str">
        <f>VLOOKUP(E175, Sales_Reps!A:C, 3, FALSE)</f>
        <v>East</v>
      </c>
      <c r="O175">
        <f>VLOOKUP(D175, Products!A:D, 4, FALSE)</f>
        <v>1962</v>
      </c>
      <c r="P175">
        <f>IFERROR(VLOOKUP(C175, Customers!A:C, 3, FALSE), 0)</f>
        <v>49</v>
      </c>
      <c r="Q175">
        <f t="shared" si="2"/>
        <v>0.2786764705882353</v>
      </c>
    </row>
    <row r="176" spans="1:17" x14ac:dyDescent="0.3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  <c r="L176" t="str">
        <f>VLOOKUP(D176, Products!A:C, 3, FALSE)</f>
        <v>Sports</v>
      </c>
      <c r="M176" t="str">
        <f>IFERROR(VLOOKUP(C176, Customers!A:E, 5, FALSE), "Unknown")</f>
        <v>Corporate</v>
      </c>
      <c r="N176" t="str">
        <f>VLOOKUP(E176, Sales_Reps!A:C, 3, FALSE)</f>
        <v>East</v>
      </c>
      <c r="O176">
        <f>VLOOKUP(D176, Products!A:D, 4, FALSE)</f>
        <v>302</v>
      </c>
      <c r="P176">
        <f>IFERROR(VLOOKUP(C176, Customers!A:C, 3, FALSE), 0)</f>
        <v>29</v>
      </c>
      <c r="Q176">
        <f t="shared" si="2"/>
        <v>0.35744680851063831</v>
      </c>
    </row>
    <row r="177" spans="1:17" x14ac:dyDescent="0.3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  <c r="L177" t="str">
        <f>VLOOKUP(D177, Products!A:C, 3, FALSE)</f>
        <v>Home</v>
      </c>
      <c r="M177" t="str">
        <f>IFERROR(VLOOKUP(C177, Customers!A:E, 5, FALSE), "Unknown")</f>
        <v>Retail</v>
      </c>
      <c r="N177" t="str">
        <f>VLOOKUP(E177, Sales_Reps!A:C, 3, FALSE)</f>
        <v>East</v>
      </c>
      <c r="O177">
        <f>VLOOKUP(D177, Products!A:D, 4, FALSE)</f>
        <v>1556</v>
      </c>
      <c r="P177">
        <f>IFERROR(VLOOKUP(C177, Customers!A:C, 3, FALSE), 0)</f>
        <v>46</v>
      </c>
      <c r="Q177">
        <f t="shared" si="2"/>
        <v>0.52123076923076928</v>
      </c>
    </row>
    <row r="178" spans="1:17" x14ac:dyDescent="0.3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  <c r="L178" t="str">
        <f>VLOOKUP(D178, Products!A:C, 3, FALSE)</f>
        <v>Home</v>
      </c>
      <c r="M178" t="str">
        <f>IFERROR(VLOOKUP(C178, Customers!A:E, 5, FALSE), "Unknown")</f>
        <v>Retail</v>
      </c>
      <c r="N178" t="str">
        <f>VLOOKUP(E178, Sales_Reps!A:C, 3, FALSE)</f>
        <v>West</v>
      </c>
      <c r="O178">
        <f>VLOOKUP(D178, Products!A:D, 4, FALSE)</f>
        <v>2459</v>
      </c>
      <c r="P178">
        <f>IFERROR(VLOOKUP(C178, Customers!A:C, 3, FALSE), 0)</f>
        <v>59</v>
      </c>
      <c r="Q178">
        <f t="shared" si="2"/>
        <v>0.51594488188976373</v>
      </c>
    </row>
    <row r="179" spans="1:17" x14ac:dyDescent="0.3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  <c r="L179" t="str">
        <f>VLOOKUP(D179, Products!A:C, 3, FALSE)</f>
        <v>Electronics</v>
      </c>
      <c r="M179" t="str">
        <f>IFERROR(VLOOKUP(C179, Customers!A:E, 5, FALSE), "Unknown")</f>
        <v>Retail</v>
      </c>
      <c r="N179" t="str">
        <f>VLOOKUP(E179, Sales_Reps!A:C, 3, FALSE)</f>
        <v>South</v>
      </c>
      <c r="O179">
        <f>VLOOKUP(D179, Products!A:D, 4, FALSE)</f>
        <v>1665</v>
      </c>
      <c r="P179">
        <f>IFERROR(VLOOKUP(C179, Customers!A:C, 3, FALSE), 0)</f>
        <v>65</v>
      </c>
      <c r="Q179">
        <f t="shared" si="2"/>
        <v>0.53361344537815125</v>
      </c>
    </row>
    <row r="180" spans="1:17" x14ac:dyDescent="0.3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  <c r="L180" t="str">
        <f>VLOOKUP(D180, Products!A:C, 3, FALSE)</f>
        <v>Apparel</v>
      </c>
      <c r="M180" t="str">
        <f>IFERROR(VLOOKUP(C180, Customers!A:E, 5, FALSE), "Unknown")</f>
        <v>Retail</v>
      </c>
      <c r="N180" t="str">
        <f>VLOOKUP(E180, Sales_Reps!A:C, 3, FALSE)</f>
        <v>South</v>
      </c>
      <c r="O180">
        <f>VLOOKUP(D180, Products!A:D, 4, FALSE)</f>
        <v>2611</v>
      </c>
      <c r="P180">
        <f>IFERROR(VLOOKUP(C180, Customers!A:C, 3, FALSE), 0)</f>
        <v>57</v>
      </c>
      <c r="Q180">
        <f t="shared" si="2"/>
        <v>0.28269230769230769</v>
      </c>
    </row>
    <row r="181" spans="1:17" x14ac:dyDescent="0.3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  <c r="L181" t="str">
        <f>VLOOKUP(D181, Products!A:C, 3, FALSE)</f>
        <v>Grocery</v>
      </c>
      <c r="M181" t="str">
        <f>IFERROR(VLOOKUP(C181, Customers!A:E, 5, FALSE), "Unknown")</f>
        <v>Retail</v>
      </c>
      <c r="N181" t="str">
        <f>VLOOKUP(E181, Sales_Reps!A:C, 3, FALSE)</f>
        <v>North</v>
      </c>
      <c r="O181">
        <f>VLOOKUP(D181, Products!A:D, 4, FALSE)</f>
        <v>2027</v>
      </c>
      <c r="P181">
        <f>IFERROR(VLOOKUP(C181, Customers!A:C, 3, FALSE), 0)</f>
        <v>63</v>
      </c>
      <c r="Q181">
        <f t="shared" si="2"/>
        <v>0.50196560196560192</v>
      </c>
    </row>
    <row r="182" spans="1:17" x14ac:dyDescent="0.3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  <c r="L182" t="str">
        <f>VLOOKUP(D182, Products!A:C, 3, FALSE)</f>
        <v>Apparel</v>
      </c>
      <c r="M182" t="str">
        <f>IFERROR(VLOOKUP(C182, Customers!A:E, 5, FALSE), "Unknown")</f>
        <v>Retail</v>
      </c>
      <c r="N182" t="str">
        <f>VLOOKUP(E182, Sales_Reps!A:C, 3, FALSE)</f>
        <v>South</v>
      </c>
      <c r="O182">
        <f>VLOOKUP(D182, Products!A:D, 4, FALSE)</f>
        <v>1748</v>
      </c>
      <c r="P182">
        <f>IFERROR(VLOOKUP(C182, Customers!A:C, 3, FALSE), 0)</f>
        <v>34</v>
      </c>
      <c r="Q182">
        <f t="shared" si="2"/>
        <v>0.49333333333333335</v>
      </c>
    </row>
    <row r="183" spans="1:17" x14ac:dyDescent="0.3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  <c r="L183" t="str">
        <f>VLOOKUP(D183, Products!A:C, 3, FALSE)</f>
        <v>Home</v>
      </c>
      <c r="M183" t="str">
        <f>IFERROR(VLOOKUP(C183, Customers!A:E, 5, FALSE), "Unknown")</f>
        <v>Retail</v>
      </c>
      <c r="N183" t="str">
        <f>VLOOKUP(E183, Sales_Reps!A:C, 3, FALSE)</f>
        <v>West</v>
      </c>
      <c r="O183">
        <f>VLOOKUP(D183, Products!A:D, 4, FALSE)</f>
        <v>2459</v>
      </c>
      <c r="P183">
        <f>IFERROR(VLOOKUP(C183, Customers!A:C, 3, FALSE), 0)</f>
        <v>60</v>
      </c>
      <c r="Q183">
        <f t="shared" si="2"/>
        <v>0.51594488188976373</v>
      </c>
    </row>
    <row r="184" spans="1:17" x14ac:dyDescent="0.3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  <c r="L184" t="str">
        <f>VLOOKUP(D184, Products!A:C, 3, FALSE)</f>
        <v>Grocery</v>
      </c>
      <c r="M184" t="str">
        <f>IFERROR(VLOOKUP(C184, Customers!A:E, 5, FALSE), "Unknown")</f>
        <v>Retail</v>
      </c>
      <c r="N184" t="str">
        <f>VLOOKUP(E184, Sales_Reps!A:C, 3, FALSE)</f>
        <v>West</v>
      </c>
      <c r="O184">
        <f>VLOOKUP(D184, Products!A:D, 4, FALSE)</f>
        <v>1435</v>
      </c>
      <c r="P184">
        <f>IFERROR(VLOOKUP(C184, Customers!A:C, 3, FALSE), 0)</f>
        <v>28</v>
      </c>
      <c r="Q184">
        <f t="shared" si="2"/>
        <v>0.48007246376811596</v>
      </c>
    </row>
    <row r="185" spans="1:17" x14ac:dyDescent="0.3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  <c r="L185" t="str">
        <f>VLOOKUP(D185, Products!A:C, 3, FALSE)</f>
        <v>Beauty</v>
      </c>
      <c r="M185" t="str">
        <f>IFERROR(VLOOKUP(C185, Customers!A:E, 5, FALSE), "Unknown")</f>
        <v>Retail</v>
      </c>
      <c r="N185" t="str">
        <f>VLOOKUP(E185, Sales_Reps!A:C, 3, FALSE)</f>
        <v>South</v>
      </c>
      <c r="O185">
        <f>VLOOKUP(D185, Products!A:D, 4, FALSE)</f>
        <v>1222</v>
      </c>
      <c r="P185">
        <f>IFERROR(VLOOKUP(C185, Customers!A:C, 3, FALSE), 0)</f>
        <v>61</v>
      </c>
      <c r="Q185">
        <f t="shared" si="2"/>
        <v>0.2593939393939394</v>
      </c>
    </row>
    <row r="186" spans="1:17" x14ac:dyDescent="0.3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  <c r="L186" t="str">
        <f>VLOOKUP(D186, Products!A:C, 3, FALSE)</f>
        <v>Electronics</v>
      </c>
      <c r="M186" t="str">
        <f>IFERROR(VLOOKUP(C186, Customers!A:E, 5, FALSE), "Unknown")</f>
        <v>SMB</v>
      </c>
      <c r="N186" t="str">
        <f>VLOOKUP(E186, Sales_Reps!A:C, 3, FALSE)</f>
        <v>North</v>
      </c>
      <c r="O186">
        <f>VLOOKUP(D186, Products!A:D, 4, FALSE)</f>
        <v>1559</v>
      </c>
      <c r="P186">
        <f>IFERROR(VLOOKUP(C186, Customers!A:C, 3, FALSE), 0)</f>
        <v>43</v>
      </c>
      <c r="Q186">
        <f t="shared" si="2"/>
        <v>0.59715762273901807</v>
      </c>
    </row>
    <row r="187" spans="1:17" x14ac:dyDescent="0.3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  <c r="L187" t="str">
        <f>VLOOKUP(D187, Products!A:C, 3, FALSE)</f>
        <v>Home</v>
      </c>
      <c r="M187" t="str">
        <f>IFERROR(VLOOKUP(C187, Customers!A:E, 5, FALSE), "Unknown")</f>
        <v>SMB</v>
      </c>
      <c r="N187" t="str">
        <f>VLOOKUP(E187, Sales_Reps!A:C, 3, FALSE)</f>
        <v>East</v>
      </c>
      <c r="O187">
        <f>VLOOKUP(D187, Products!A:D, 4, FALSE)</f>
        <v>464</v>
      </c>
      <c r="P187">
        <f>IFERROR(VLOOKUP(C187, Customers!A:C, 3, FALSE), 0)</f>
        <v>65</v>
      </c>
      <c r="Q187">
        <f t="shared" si="2"/>
        <v>0.57431192660550456</v>
      </c>
    </row>
    <row r="188" spans="1:17" x14ac:dyDescent="0.3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  <c r="L188" t="str">
        <f>VLOOKUP(D188, Products!A:C, 3, FALSE)</f>
        <v>Beauty</v>
      </c>
      <c r="M188" t="str">
        <f>IFERROR(VLOOKUP(C188, Customers!A:E, 5, FALSE), "Unknown")</f>
        <v>Corporate</v>
      </c>
      <c r="N188" t="str">
        <f>VLOOKUP(E188, Sales_Reps!A:C, 3, FALSE)</f>
        <v>West</v>
      </c>
      <c r="O188">
        <f>VLOOKUP(D188, Products!A:D, 4, FALSE)</f>
        <v>675</v>
      </c>
      <c r="P188">
        <f>IFERROR(VLOOKUP(C188, Customers!A:C, 3, FALSE), 0)</f>
        <v>36</v>
      </c>
      <c r="Q188">
        <f t="shared" si="2"/>
        <v>0.296875</v>
      </c>
    </row>
    <row r="189" spans="1:17" x14ac:dyDescent="0.3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  <c r="L189" t="str">
        <f>VLOOKUP(D189, Products!A:C, 3, FALSE)</f>
        <v>Beauty</v>
      </c>
      <c r="M189" t="str">
        <f>IFERROR(VLOOKUP(C189, Customers!A:E, 5, FALSE), "Unknown")</f>
        <v>Retail</v>
      </c>
      <c r="N189" t="str">
        <f>VLOOKUP(E189, Sales_Reps!A:C, 3, FALSE)</f>
        <v>East</v>
      </c>
      <c r="O189">
        <f>VLOOKUP(D189, Products!A:D, 4, FALSE)</f>
        <v>1728</v>
      </c>
      <c r="P189">
        <f>IFERROR(VLOOKUP(C189, Customers!A:C, 3, FALSE), 0)</f>
        <v>34</v>
      </c>
      <c r="Q189">
        <f t="shared" si="2"/>
        <v>0.48417910447761192</v>
      </c>
    </row>
    <row r="190" spans="1:17" x14ac:dyDescent="0.3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  <c r="L190" t="str">
        <f>VLOOKUP(D190, Products!A:C, 3, FALSE)</f>
        <v>Grocery</v>
      </c>
      <c r="M190" t="str">
        <f>IFERROR(VLOOKUP(C190, Customers!A:E, 5, FALSE), "Unknown")</f>
        <v>Retail</v>
      </c>
      <c r="N190" t="str">
        <f>VLOOKUP(E190, Sales_Reps!A:C, 3, FALSE)</f>
        <v>North</v>
      </c>
      <c r="O190">
        <f>VLOOKUP(D190, Products!A:D, 4, FALSE)</f>
        <v>1412</v>
      </c>
      <c r="P190">
        <f>IFERROR(VLOOKUP(C190, Customers!A:C, 3, FALSE), 0)</f>
        <v>59</v>
      </c>
      <c r="Q190">
        <f t="shared" si="2"/>
        <v>0.37797356828193834</v>
      </c>
    </row>
    <row r="191" spans="1:17" x14ac:dyDescent="0.3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  <c r="L191" t="str">
        <f>VLOOKUP(D191, Products!A:C, 3, FALSE)</f>
        <v>Home</v>
      </c>
      <c r="M191" t="str">
        <f>IFERROR(VLOOKUP(C191, Customers!A:E, 5, FALSE), "Unknown")</f>
        <v>Retail</v>
      </c>
      <c r="N191" t="str">
        <f>VLOOKUP(E191, Sales_Reps!A:C, 3, FALSE)</f>
        <v>East</v>
      </c>
      <c r="O191">
        <f>VLOOKUP(D191, Products!A:D, 4, FALSE)</f>
        <v>1850</v>
      </c>
      <c r="P191">
        <f>IFERROR(VLOOKUP(C191, Customers!A:C, 3, FALSE), 0)</f>
        <v>55</v>
      </c>
      <c r="Q191">
        <f t="shared" si="2"/>
        <v>0.59869848156182215</v>
      </c>
    </row>
    <row r="192" spans="1:17" x14ac:dyDescent="0.3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  <c r="L192" t="str">
        <f>VLOOKUP(D192, Products!A:C, 3, FALSE)</f>
        <v>Apparel</v>
      </c>
      <c r="M192" t="str">
        <f>IFERROR(VLOOKUP(C192, Customers!A:E, 5, FALSE), "Unknown")</f>
        <v>SMB</v>
      </c>
      <c r="N192" t="str">
        <f>VLOOKUP(E192, Sales_Reps!A:C, 3, FALSE)</f>
        <v>South</v>
      </c>
      <c r="O192">
        <f>VLOOKUP(D192, Products!A:D, 4, FALSE)</f>
        <v>1886</v>
      </c>
      <c r="P192">
        <f>IFERROR(VLOOKUP(C192, Customers!A:C, 3, FALSE), 0)</f>
        <v>26</v>
      </c>
      <c r="Q192">
        <f t="shared" si="2"/>
        <v>0.4031645569620253</v>
      </c>
    </row>
    <row r="193" spans="1:17" x14ac:dyDescent="0.3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  <c r="L193" t="str">
        <f>VLOOKUP(D193, Products!A:C, 3, FALSE)</f>
        <v>Grocery</v>
      </c>
      <c r="M193" t="str">
        <f>IFERROR(VLOOKUP(C193, Customers!A:E, 5, FALSE), "Unknown")</f>
        <v>Retail</v>
      </c>
      <c r="N193" t="str">
        <f>VLOOKUP(E193, Sales_Reps!A:C, 3, FALSE)</f>
        <v>North</v>
      </c>
      <c r="O193">
        <f>VLOOKUP(D193, Products!A:D, 4, FALSE)</f>
        <v>1412</v>
      </c>
      <c r="P193">
        <f>IFERROR(VLOOKUP(C193, Customers!A:C, 3, FALSE), 0)</f>
        <v>61</v>
      </c>
      <c r="Q193">
        <f t="shared" si="2"/>
        <v>0.37797356828193834</v>
      </c>
    </row>
    <row r="194" spans="1:17" x14ac:dyDescent="0.3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  <c r="L194" t="str">
        <f>VLOOKUP(D194, Products!A:C, 3, FALSE)</f>
        <v>Beauty</v>
      </c>
      <c r="M194" t="str">
        <f>IFERROR(VLOOKUP(C194, Customers!A:E, 5, FALSE), "Unknown")</f>
        <v>Retail</v>
      </c>
      <c r="N194" t="str">
        <f>VLOOKUP(E194, Sales_Reps!A:C, 3, FALSE)</f>
        <v>West</v>
      </c>
      <c r="O194">
        <f>VLOOKUP(D194, Products!A:D, 4, FALSE)</f>
        <v>1626</v>
      </c>
      <c r="P194">
        <f>IFERROR(VLOOKUP(C194, Customers!A:C, 3, FALSE), 0)</f>
        <v>56</v>
      </c>
      <c r="Q194">
        <f t="shared" si="2"/>
        <v>0.46158940397350995</v>
      </c>
    </row>
    <row r="195" spans="1:17" x14ac:dyDescent="0.3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  <c r="L195" t="str">
        <f>VLOOKUP(D195, Products!A:C, 3, FALSE)</f>
        <v>Sports</v>
      </c>
      <c r="M195" t="str">
        <f>IFERROR(VLOOKUP(C195, Customers!A:E, 5, FALSE), "Unknown")</f>
        <v>SMB</v>
      </c>
      <c r="N195" t="str">
        <f>VLOOKUP(E195, Sales_Reps!A:C, 3, FALSE)</f>
        <v>West</v>
      </c>
      <c r="O195">
        <f>VLOOKUP(D195, Products!A:D, 4, FALSE)</f>
        <v>2827</v>
      </c>
      <c r="P195">
        <f>IFERROR(VLOOKUP(C195, Customers!A:C, 3, FALSE), 0)</f>
        <v>46</v>
      </c>
      <c r="Q195">
        <f t="shared" ref="Q195:Q258" si="3">(G195 - O195) / G195</f>
        <v>0.5926512968299712</v>
      </c>
    </row>
    <row r="196" spans="1:17" x14ac:dyDescent="0.3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  <c r="L196" t="str">
        <f>VLOOKUP(D196, Products!A:C, 3, FALSE)</f>
        <v>Beauty</v>
      </c>
      <c r="M196" t="str">
        <f>IFERROR(VLOOKUP(C196, Customers!A:E, 5, FALSE), "Unknown")</f>
        <v>Corporate</v>
      </c>
      <c r="N196" t="str">
        <f>VLOOKUP(E196, Sales_Reps!A:C, 3, FALSE)</f>
        <v>South</v>
      </c>
      <c r="O196">
        <f>VLOOKUP(D196, Products!A:D, 4, FALSE)</f>
        <v>647</v>
      </c>
      <c r="P196">
        <f>IFERROR(VLOOKUP(C196, Customers!A:C, 3, FALSE), 0)</f>
        <v>29</v>
      </c>
      <c r="Q196">
        <f t="shared" si="3"/>
        <v>0.57987012987012987</v>
      </c>
    </row>
    <row r="197" spans="1:17" x14ac:dyDescent="0.3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  <c r="L197" t="str">
        <f>VLOOKUP(D197, Products!A:C, 3, FALSE)</f>
        <v>Apparel</v>
      </c>
      <c r="M197" t="str">
        <f>IFERROR(VLOOKUP(C197, Customers!A:E, 5, FALSE), "Unknown")</f>
        <v>Retail</v>
      </c>
      <c r="N197" t="str">
        <f>VLOOKUP(E197, Sales_Reps!A:C, 3, FALSE)</f>
        <v>West</v>
      </c>
      <c r="O197">
        <f>VLOOKUP(D197, Products!A:D, 4, FALSE)</f>
        <v>1173</v>
      </c>
      <c r="P197">
        <f>IFERROR(VLOOKUP(C197, Customers!A:C, 3, FALSE), 0)</f>
        <v>49</v>
      </c>
      <c r="Q197">
        <f t="shared" si="3"/>
        <v>0.52701612903225803</v>
      </c>
    </row>
    <row r="198" spans="1:17" x14ac:dyDescent="0.3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  <c r="L198" t="str">
        <f>VLOOKUP(D198, Products!A:C, 3, FALSE)</f>
        <v>Sports</v>
      </c>
      <c r="M198" t="str">
        <f>IFERROR(VLOOKUP(C198, Customers!A:E, 5, FALSE), "Unknown")</f>
        <v>Corporate</v>
      </c>
      <c r="N198" t="str">
        <f>VLOOKUP(E198, Sales_Reps!A:C, 3, FALSE)</f>
        <v>East</v>
      </c>
      <c r="O198">
        <f>VLOOKUP(D198, Products!A:D, 4, FALSE)</f>
        <v>147</v>
      </c>
      <c r="P198">
        <f>IFERROR(VLOOKUP(C198, Customers!A:C, 3, FALSE), 0)</f>
        <v>35</v>
      </c>
      <c r="Q198">
        <f t="shared" si="3"/>
        <v>0.22631578947368422</v>
      </c>
    </row>
    <row r="199" spans="1:17" x14ac:dyDescent="0.3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  <c r="L199" t="str">
        <f>VLOOKUP(D199, Products!A:C, 3, FALSE)</f>
        <v>Sports</v>
      </c>
      <c r="M199" t="str">
        <f>IFERROR(VLOOKUP(C199, Customers!A:E, 5, FALSE), "Unknown")</f>
        <v>SMB</v>
      </c>
      <c r="N199" t="str">
        <f>VLOOKUP(E199, Sales_Reps!A:C, 3, FALSE)</f>
        <v>South</v>
      </c>
      <c r="O199">
        <f>VLOOKUP(D199, Products!A:D, 4, FALSE)</f>
        <v>2028</v>
      </c>
      <c r="P199">
        <f>IFERROR(VLOOKUP(C199, Customers!A:C, 3, FALSE), 0)</f>
        <v>55</v>
      </c>
      <c r="Q199">
        <f t="shared" si="3"/>
        <v>0.29090909090909089</v>
      </c>
    </row>
    <row r="200" spans="1:17" x14ac:dyDescent="0.3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  <c r="L200" t="str">
        <f>VLOOKUP(D200, Products!A:C, 3, FALSE)</f>
        <v>Apparel</v>
      </c>
      <c r="M200" t="str">
        <f>IFERROR(VLOOKUP(C200, Customers!A:E, 5, FALSE), "Unknown")</f>
        <v>Corporate</v>
      </c>
      <c r="N200" t="str">
        <f>VLOOKUP(E200, Sales_Reps!A:C, 3, FALSE)</f>
        <v>South</v>
      </c>
      <c r="O200">
        <f>VLOOKUP(D200, Products!A:D, 4, FALSE)</f>
        <v>1075</v>
      </c>
      <c r="P200">
        <f>IFERROR(VLOOKUP(C200, Customers!A:C, 3, FALSE), 0)</f>
        <v>55</v>
      </c>
      <c r="Q200">
        <f t="shared" si="3"/>
        <v>0.57171314741035861</v>
      </c>
    </row>
    <row r="201" spans="1:17" x14ac:dyDescent="0.3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  <c r="L201" t="str">
        <f>VLOOKUP(D201, Products!A:C, 3, FALSE)</f>
        <v>Electronics</v>
      </c>
      <c r="M201" t="str">
        <f>IFERROR(VLOOKUP(C201, Customers!A:E, 5, FALSE), "Unknown")</f>
        <v>Retail</v>
      </c>
      <c r="N201" t="str">
        <f>VLOOKUP(E201, Sales_Reps!A:C, 3, FALSE)</f>
        <v>North</v>
      </c>
      <c r="O201">
        <f>VLOOKUP(D201, Products!A:D, 4, FALSE)</f>
        <v>1665</v>
      </c>
      <c r="P201">
        <f>IFERROR(VLOOKUP(C201, Customers!A:C, 3, FALSE), 0)</f>
        <v>23</v>
      </c>
      <c r="Q201">
        <f t="shared" si="3"/>
        <v>0.53361344537815125</v>
      </c>
    </row>
    <row r="202" spans="1:17" x14ac:dyDescent="0.3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  <c r="L202" t="str">
        <f>VLOOKUP(D202, Products!A:C, 3, FALSE)</f>
        <v>Home</v>
      </c>
      <c r="M202" t="str">
        <f>IFERROR(VLOOKUP(C202, Customers!A:E, 5, FALSE), "Unknown")</f>
        <v>Retail</v>
      </c>
      <c r="N202" t="str">
        <f>VLOOKUP(E202, Sales_Reps!A:C, 3, FALSE)</f>
        <v>South</v>
      </c>
      <c r="O202">
        <f>VLOOKUP(D202, Products!A:D, 4, FALSE)</f>
        <v>2135</v>
      </c>
      <c r="P202">
        <f>IFERROR(VLOOKUP(C202, Customers!A:C, 3, FALSE), 0)</f>
        <v>59</v>
      </c>
      <c r="Q202">
        <f t="shared" si="3"/>
        <v>0.42761394101876676</v>
      </c>
    </row>
    <row r="203" spans="1:17" x14ac:dyDescent="0.3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  <c r="L203" t="str">
        <f>VLOOKUP(D203, Products!A:C, 3, FALSE)</f>
        <v>Home</v>
      </c>
      <c r="M203" t="str">
        <f>IFERROR(VLOOKUP(C203, Customers!A:E, 5, FALSE), "Unknown")</f>
        <v>Retail</v>
      </c>
      <c r="N203" t="str">
        <f>VLOOKUP(E203, Sales_Reps!A:C, 3, FALSE)</f>
        <v>West</v>
      </c>
      <c r="O203">
        <f>VLOOKUP(D203, Products!A:D, 4, FALSE)</f>
        <v>288</v>
      </c>
      <c r="P203">
        <f>IFERROR(VLOOKUP(C203, Customers!A:C, 3, FALSE), 0)</f>
        <v>44</v>
      </c>
      <c r="Q203">
        <f t="shared" si="3"/>
        <v>0.22162162162162163</v>
      </c>
    </row>
    <row r="204" spans="1:17" x14ac:dyDescent="0.3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  <c r="L204" t="str">
        <f>VLOOKUP(D204, Products!A:C, 3, FALSE)</f>
        <v>Electronics</v>
      </c>
      <c r="M204" t="str">
        <f>IFERROR(VLOOKUP(C204, Customers!A:E, 5, FALSE), "Unknown")</f>
        <v>Retail</v>
      </c>
      <c r="N204" t="str">
        <f>VLOOKUP(E204, Sales_Reps!A:C, 3, FALSE)</f>
        <v>South</v>
      </c>
      <c r="O204">
        <f>VLOOKUP(D204, Products!A:D, 4, FALSE)</f>
        <v>1259</v>
      </c>
      <c r="P204">
        <f>IFERROR(VLOOKUP(C204, Customers!A:C, 3, FALSE), 0)</f>
        <v>45</v>
      </c>
      <c r="Q204">
        <f t="shared" si="3"/>
        <v>0.52669172932330832</v>
      </c>
    </row>
    <row r="205" spans="1:17" x14ac:dyDescent="0.3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  <c r="L205" t="str">
        <f>VLOOKUP(D205, Products!A:C, 3, FALSE)</f>
        <v>Grocery</v>
      </c>
      <c r="M205" t="str">
        <f>IFERROR(VLOOKUP(C205, Customers!A:E, 5, FALSE), "Unknown")</f>
        <v>Retail</v>
      </c>
      <c r="N205" t="str">
        <f>VLOOKUP(E205, Sales_Reps!A:C, 3, FALSE)</f>
        <v>South</v>
      </c>
      <c r="O205">
        <f>VLOOKUP(D205, Products!A:D, 4, FALSE)</f>
        <v>1435</v>
      </c>
      <c r="P205">
        <f>IFERROR(VLOOKUP(C205, Customers!A:C, 3, FALSE), 0)</f>
        <v>23</v>
      </c>
      <c r="Q205">
        <f t="shared" si="3"/>
        <v>0.48007246376811596</v>
      </c>
    </row>
    <row r="206" spans="1:17" x14ac:dyDescent="0.3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  <c r="L206" t="str">
        <f>VLOOKUP(D206, Products!A:C, 3, FALSE)</f>
        <v>Beauty</v>
      </c>
      <c r="M206" t="str">
        <f>IFERROR(VLOOKUP(C206, Customers!A:E, 5, FALSE), "Unknown")</f>
        <v>SMB</v>
      </c>
      <c r="N206" t="str">
        <f>VLOOKUP(E206, Sales_Reps!A:C, 3, FALSE)</f>
        <v>South</v>
      </c>
      <c r="O206">
        <f>VLOOKUP(D206, Products!A:D, 4, FALSE)</f>
        <v>1728</v>
      </c>
      <c r="P206">
        <f>IFERROR(VLOOKUP(C206, Customers!A:C, 3, FALSE), 0)</f>
        <v>48</v>
      </c>
      <c r="Q206">
        <f t="shared" si="3"/>
        <v>0.48417910447761192</v>
      </c>
    </row>
    <row r="207" spans="1:17" x14ac:dyDescent="0.3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  <c r="L207" t="str">
        <f>VLOOKUP(D207, Products!A:C, 3, FALSE)</f>
        <v>Electronics</v>
      </c>
      <c r="M207" t="str">
        <f>IFERROR(VLOOKUP(C207, Customers!A:E, 5, FALSE), "Unknown")</f>
        <v>SMB</v>
      </c>
      <c r="N207" t="str">
        <f>VLOOKUP(E207, Sales_Reps!A:C, 3, FALSE)</f>
        <v>East</v>
      </c>
      <c r="O207">
        <f>VLOOKUP(D207, Products!A:D, 4, FALSE)</f>
        <v>128</v>
      </c>
      <c r="P207">
        <f>IFERROR(VLOOKUP(C207, Customers!A:C, 3, FALSE), 0)</f>
        <v>30</v>
      </c>
      <c r="Q207">
        <f t="shared" si="3"/>
        <v>0.57333333333333336</v>
      </c>
    </row>
    <row r="208" spans="1:17" x14ac:dyDescent="0.3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  <c r="L208" t="str">
        <f>VLOOKUP(D208, Products!A:C, 3, FALSE)</f>
        <v>Apparel</v>
      </c>
      <c r="M208" t="str">
        <f>IFERROR(VLOOKUP(C208, Customers!A:E, 5, FALSE), "Unknown")</f>
        <v>Retail</v>
      </c>
      <c r="N208" t="str">
        <f>VLOOKUP(E208, Sales_Reps!A:C, 3, FALSE)</f>
        <v>North</v>
      </c>
      <c r="O208">
        <f>VLOOKUP(D208, Products!A:D, 4, FALSE)</f>
        <v>1962</v>
      </c>
      <c r="P208">
        <f>IFERROR(VLOOKUP(C208, Customers!A:C, 3, FALSE), 0)</f>
        <v>44</v>
      </c>
      <c r="Q208">
        <f t="shared" si="3"/>
        <v>0.2786764705882353</v>
      </c>
    </row>
    <row r="209" spans="1:17" x14ac:dyDescent="0.3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  <c r="L209" t="str">
        <f>VLOOKUP(D209, Products!A:C, 3, FALSE)</f>
        <v>Electronics</v>
      </c>
      <c r="M209" t="str">
        <f>IFERROR(VLOOKUP(C209, Customers!A:E, 5, FALSE), "Unknown")</f>
        <v>SMB</v>
      </c>
      <c r="N209" t="str">
        <f>VLOOKUP(E209, Sales_Reps!A:C, 3, FALSE)</f>
        <v>South</v>
      </c>
      <c r="O209">
        <f>VLOOKUP(D209, Products!A:D, 4, FALSE)</f>
        <v>1559</v>
      </c>
      <c r="P209">
        <f>IFERROR(VLOOKUP(C209, Customers!A:C, 3, FALSE), 0)</f>
        <v>48</v>
      </c>
      <c r="Q209">
        <f t="shared" si="3"/>
        <v>0.59715762273901807</v>
      </c>
    </row>
    <row r="210" spans="1:17" x14ac:dyDescent="0.3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  <c r="L210" t="str">
        <f>VLOOKUP(D210, Products!A:C, 3, FALSE)</f>
        <v>Home</v>
      </c>
      <c r="M210" t="str">
        <f>IFERROR(VLOOKUP(C210, Customers!A:E, 5, FALSE), "Unknown")</f>
        <v>Retail</v>
      </c>
      <c r="N210" t="str">
        <f>VLOOKUP(E210, Sales_Reps!A:C, 3, FALSE)</f>
        <v>South</v>
      </c>
      <c r="O210">
        <f>VLOOKUP(D210, Products!A:D, 4, FALSE)</f>
        <v>2135</v>
      </c>
      <c r="P210">
        <f>IFERROR(VLOOKUP(C210, Customers!A:C, 3, FALSE), 0)</f>
        <v>38</v>
      </c>
      <c r="Q210">
        <f t="shared" si="3"/>
        <v>0.42761394101876676</v>
      </c>
    </row>
    <row r="211" spans="1:17" x14ac:dyDescent="0.3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  <c r="L211" t="str">
        <f>VLOOKUP(D211, Products!A:C, 3, FALSE)</f>
        <v>Apparel</v>
      </c>
      <c r="M211" t="str">
        <f>IFERROR(VLOOKUP(C211, Customers!A:E, 5, FALSE), "Unknown")</f>
        <v>Corporate</v>
      </c>
      <c r="N211" t="str">
        <f>VLOOKUP(E211, Sales_Reps!A:C, 3, FALSE)</f>
        <v>South</v>
      </c>
      <c r="O211">
        <f>VLOOKUP(D211, Products!A:D, 4, FALSE)</f>
        <v>1173</v>
      </c>
      <c r="P211">
        <f>IFERROR(VLOOKUP(C211, Customers!A:C, 3, FALSE), 0)</f>
        <v>34</v>
      </c>
      <c r="Q211">
        <f t="shared" si="3"/>
        <v>0.52701612903225803</v>
      </c>
    </row>
    <row r="212" spans="1:17" x14ac:dyDescent="0.3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  <c r="L212" t="str">
        <f>VLOOKUP(D212, Products!A:C, 3, FALSE)</f>
        <v>Sports</v>
      </c>
      <c r="M212" t="str">
        <f>IFERROR(VLOOKUP(C212, Customers!A:E, 5, FALSE), "Unknown")</f>
        <v>Retail</v>
      </c>
      <c r="N212" t="str">
        <f>VLOOKUP(E212, Sales_Reps!A:C, 3, FALSE)</f>
        <v>East</v>
      </c>
      <c r="O212">
        <f>VLOOKUP(D212, Products!A:D, 4, FALSE)</f>
        <v>705</v>
      </c>
      <c r="P212">
        <f>IFERROR(VLOOKUP(C212, Customers!A:C, 3, FALSE), 0)</f>
        <v>44</v>
      </c>
      <c r="Q212">
        <f t="shared" si="3"/>
        <v>0.265625</v>
      </c>
    </row>
    <row r="213" spans="1:17" x14ac:dyDescent="0.3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  <c r="L213" t="str">
        <f>VLOOKUP(D213, Products!A:C, 3, FALSE)</f>
        <v>Beauty</v>
      </c>
      <c r="M213" t="str">
        <f>IFERROR(VLOOKUP(C213, Customers!A:E, 5, FALSE), "Unknown")</f>
        <v>Retail</v>
      </c>
      <c r="N213" t="str">
        <f>VLOOKUP(E213, Sales_Reps!A:C, 3, FALSE)</f>
        <v>East</v>
      </c>
      <c r="O213">
        <f>VLOOKUP(D213, Products!A:D, 4, FALSE)</f>
        <v>2768</v>
      </c>
      <c r="P213">
        <f>IFERROR(VLOOKUP(C213, Customers!A:C, 3, FALSE), 0)</f>
        <v>25</v>
      </c>
      <c r="Q213">
        <f t="shared" si="3"/>
        <v>0.43278688524590164</v>
      </c>
    </row>
    <row r="214" spans="1:17" x14ac:dyDescent="0.3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  <c r="L214" t="str">
        <f>VLOOKUP(D214, Products!A:C, 3, FALSE)</f>
        <v>Apparel</v>
      </c>
      <c r="M214" t="str">
        <f>IFERROR(VLOOKUP(C214, Customers!A:E, 5, FALSE), "Unknown")</f>
        <v>SMB</v>
      </c>
      <c r="N214" t="str">
        <f>VLOOKUP(E214, Sales_Reps!A:C, 3, FALSE)</f>
        <v>West</v>
      </c>
      <c r="O214">
        <f>VLOOKUP(D214, Products!A:D, 4, FALSE)</f>
        <v>2509</v>
      </c>
      <c r="P214">
        <f>IFERROR(VLOOKUP(C214, Customers!A:C, 3, FALSE), 0)</f>
        <v>29</v>
      </c>
      <c r="Q214">
        <f t="shared" si="3"/>
        <v>0.3069060773480663</v>
      </c>
    </row>
    <row r="215" spans="1:17" x14ac:dyDescent="0.3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  <c r="L215" t="str">
        <f>VLOOKUP(D215, Products!A:C, 3, FALSE)</f>
        <v>Electronics</v>
      </c>
      <c r="M215" t="str">
        <f>IFERROR(VLOOKUP(C215, Customers!A:E, 5, FALSE), "Unknown")</f>
        <v>Retail</v>
      </c>
      <c r="N215" t="str">
        <f>VLOOKUP(E215, Sales_Reps!A:C, 3, FALSE)</f>
        <v>North</v>
      </c>
      <c r="O215">
        <f>VLOOKUP(D215, Products!A:D, 4, FALSE)</f>
        <v>2865</v>
      </c>
      <c r="P215">
        <f>IFERROR(VLOOKUP(C215, Customers!A:C, 3, FALSE), 0)</f>
        <v>35</v>
      </c>
      <c r="Q215">
        <f t="shared" si="3"/>
        <v>0.27833753148614609</v>
      </c>
    </row>
    <row r="216" spans="1:17" x14ac:dyDescent="0.3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  <c r="L216" t="str">
        <f>VLOOKUP(D216, Products!A:C, 3, FALSE)</f>
        <v>Grocery</v>
      </c>
      <c r="M216" t="str">
        <f>IFERROR(VLOOKUP(C216, Customers!A:E, 5, FALSE), "Unknown")</f>
        <v>Retail</v>
      </c>
      <c r="N216" t="str">
        <f>VLOOKUP(E216, Sales_Reps!A:C, 3, FALSE)</f>
        <v>West</v>
      </c>
      <c r="O216">
        <f>VLOOKUP(D216, Products!A:D, 4, FALSE)</f>
        <v>1412</v>
      </c>
      <c r="P216">
        <f>IFERROR(VLOOKUP(C216, Customers!A:C, 3, FALSE), 0)</f>
        <v>32</v>
      </c>
      <c r="Q216">
        <f t="shared" si="3"/>
        <v>0.37797356828193834</v>
      </c>
    </row>
    <row r="217" spans="1:17" x14ac:dyDescent="0.3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  <c r="L217" t="str">
        <f>VLOOKUP(D217, Products!A:C, 3, FALSE)</f>
        <v>Grocery</v>
      </c>
      <c r="M217" t="str">
        <f>IFERROR(VLOOKUP(C217, Customers!A:E, 5, FALSE), "Unknown")</f>
        <v>Corporate</v>
      </c>
      <c r="N217" t="str">
        <f>VLOOKUP(E217, Sales_Reps!A:C, 3, FALSE)</f>
        <v>South</v>
      </c>
      <c r="O217">
        <f>VLOOKUP(D217, Products!A:D, 4, FALSE)</f>
        <v>2436</v>
      </c>
      <c r="P217">
        <f>IFERROR(VLOOKUP(C217, Customers!A:C, 3, FALSE), 0)</f>
        <v>55</v>
      </c>
      <c r="Q217">
        <f t="shared" si="3"/>
        <v>0.35555555555555557</v>
      </c>
    </row>
    <row r="218" spans="1:17" x14ac:dyDescent="0.3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  <c r="L218" t="str">
        <f>VLOOKUP(D218, Products!A:C, 3, FALSE)</f>
        <v>Grocery</v>
      </c>
      <c r="M218" t="str">
        <f>IFERROR(VLOOKUP(C218, Customers!A:E, 5, FALSE), "Unknown")</f>
        <v>Corporate</v>
      </c>
      <c r="N218" t="str">
        <f>VLOOKUP(E218, Sales_Reps!A:C, 3, FALSE)</f>
        <v>East</v>
      </c>
      <c r="O218">
        <f>VLOOKUP(D218, Products!A:D, 4, FALSE)</f>
        <v>2027</v>
      </c>
      <c r="P218">
        <f>IFERROR(VLOOKUP(C218, Customers!A:C, 3, FALSE), 0)</f>
        <v>60</v>
      </c>
      <c r="Q218">
        <f t="shared" si="3"/>
        <v>0.50196560196560192</v>
      </c>
    </row>
    <row r="219" spans="1:17" x14ac:dyDescent="0.3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  <c r="L219" t="str">
        <f>VLOOKUP(D219, Products!A:C, 3, FALSE)</f>
        <v>Electronics</v>
      </c>
      <c r="M219" t="str">
        <f>IFERROR(VLOOKUP(C219, Customers!A:E, 5, FALSE), "Unknown")</f>
        <v>Retail</v>
      </c>
      <c r="N219" t="str">
        <f>VLOOKUP(E219, Sales_Reps!A:C, 3, FALSE)</f>
        <v>North</v>
      </c>
      <c r="O219">
        <f>VLOOKUP(D219, Products!A:D, 4, FALSE)</f>
        <v>1259</v>
      </c>
      <c r="P219">
        <f>IFERROR(VLOOKUP(C219, Customers!A:C, 3, FALSE), 0)</f>
        <v>65</v>
      </c>
      <c r="Q219">
        <f t="shared" si="3"/>
        <v>0.52669172932330832</v>
      </c>
    </row>
    <row r="220" spans="1:17" x14ac:dyDescent="0.3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  <c r="L220" t="str">
        <f>VLOOKUP(D220, Products!A:C, 3, FALSE)</f>
        <v>Electronics</v>
      </c>
      <c r="M220" t="str">
        <f>IFERROR(VLOOKUP(C220, Customers!A:E, 5, FALSE), "Unknown")</f>
        <v>Retail</v>
      </c>
      <c r="N220" t="str">
        <f>VLOOKUP(E220, Sales_Reps!A:C, 3, FALSE)</f>
        <v>North</v>
      </c>
      <c r="O220">
        <f>VLOOKUP(D220, Products!A:D, 4, FALSE)</f>
        <v>1665</v>
      </c>
      <c r="P220">
        <f>IFERROR(VLOOKUP(C220, Customers!A:C, 3, FALSE), 0)</f>
        <v>37</v>
      </c>
      <c r="Q220">
        <f t="shared" si="3"/>
        <v>0.53361344537815125</v>
      </c>
    </row>
    <row r="221" spans="1:17" x14ac:dyDescent="0.3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  <c r="L221" t="str">
        <f>VLOOKUP(D221, Products!A:C, 3, FALSE)</f>
        <v>Beauty</v>
      </c>
      <c r="M221" t="str">
        <f>IFERROR(VLOOKUP(C221, Customers!A:E, 5, FALSE), "Unknown")</f>
        <v>Retail</v>
      </c>
      <c r="N221" t="str">
        <f>VLOOKUP(E221, Sales_Reps!A:C, 3, FALSE)</f>
        <v>North</v>
      </c>
      <c r="O221">
        <f>VLOOKUP(D221, Products!A:D, 4, FALSE)</f>
        <v>675</v>
      </c>
      <c r="P221">
        <f>IFERROR(VLOOKUP(C221, Customers!A:C, 3, FALSE), 0)</f>
        <v>65</v>
      </c>
      <c r="Q221">
        <f t="shared" si="3"/>
        <v>0.296875</v>
      </c>
    </row>
    <row r="222" spans="1:17" x14ac:dyDescent="0.3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  <c r="L222" t="str">
        <f>VLOOKUP(D222, Products!A:C, 3, FALSE)</f>
        <v>Beauty</v>
      </c>
      <c r="M222" t="str">
        <f>IFERROR(VLOOKUP(C222, Customers!A:E, 5, FALSE), "Unknown")</f>
        <v>Retail</v>
      </c>
      <c r="N222" t="str">
        <f>VLOOKUP(E222, Sales_Reps!A:C, 3, FALSE)</f>
        <v>East</v>
      </c>
      <c r="O222">
        <f>VLOOKUP(D222, Products!A:D, 4, FALSE)</f>
        <v>2420</v>
      </c>
      <c r="P222">
        <f>IFERROR(VLOOKUP(C222, Customers!A:C, 3, FALSE), 0)</f>
        <v>62</v>
      </c>
      <c r="Q222">
        <f t="shared" si="3"/>
        <v>0.29855072463768118</v>
      </c>
    </row>
    <row r="223" spans="1:17" x14ac:dyDescent="0.3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  <c r="L223" t="str">
        <f>VLOOKUP(D223, Products!A:C, 3, FALSE)</f>
        <v>Beauty</v>
      </c>
      <c r="M223" t="str">
        <f>IFERROR(VLOOKUP(C223, Customers!A:E, 5, FALSE), "Unknown")</f>
        <v>SMB</v>
      </c>
      <c r="N223" t="str">
        <f>VLOOKUP(E223, Sales_Reps!A:C, 3, FALSE)</f>
        <v>North</v>
      </c>
      <c r="O223">
        <f>VLOOKUP(D223, Products!A:D, 4, FALSE)</f>
        <v>2237</v>
      </c>
      <c r="P223">
        <f>IFERROR(VLOOKUP(C223, Customers!A:C, 3, FALSE), 0)</f>
        <v>43</v>
      </c>
      <c r="Q223">
        <f t="shared" si="3"/>
        <v>0.56137254901960787</v>
      </c>
    </row>
    <row r="224" spans="1:17" x14ac:dyDescent="0.3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  <c r="L224" t="str">
        <f>VLOOKUP(D224, Products!A:C, 3, FALSE)</f>
        <v>Electronics</v>
      </c>
      <c r="M224" t="str">
        <f>IFERROR(VLOOKUP(C224, Customers!A:E, 5, FALSE), "Unknown")</f>
        <v>SMB</v>
      </c>
      <c r="N224" t="str">
        <f>VLOOKUP(E224, Sales_Reps!A:C, 3, FALSE)</f>
        <v>North</v>
      </c>
      <c r="O224">
        <f>VLOOKUP(D224, Products!A:D, 4, FALSE)</f>
        <v>128</v>
      </c>
      <c r="P224">
        <f>IFERROR(VLOOKUP(C224, Customers!A:C, 3, FALSE), 0)</f>
        <v>24</v>
      </c>
      <c r="Q224">
        <f t="shared" si="3"/>
        <v>0.57333333333333336</v>
      </c>
    </row>
    <row r="225" spans="1:17" x14ac:dyDescent="0.3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  <c r="L225" t="str">
        <f>VLOOKUP(D225, Products!A:C, 3, FALSE)</f>
        <v>Beauty</v>
      </c>
      <c r="M225" t="str">
        <f>IFERROR(VLOOKUP(C225, Customers!A:E, 5, FALSE), "Unknown")</f>
        <v>SMB</v>
      </c>
      <c r="N225" t="str">
        <f>VLOOKUP(E225, Sales_Reps!A:C, 3, FALSE)</f>
        <v>East</v>
      </c>
      <c r="O225">
        <f>VLOOKUP(D225, Products!A:D, 4, FALSE)</f>
        <v>2768</v>
      </c>
      <c r="P225">
        <f>IFERROR(VLOOKUP(C225, Customers!A:C, 3, FALSE), 0)</f>
        <v>61</v>
      </c>
      <c r="Q225">
        <f t="shared" si="3"/>
        <v>0.43278688524590164</v>
      </c>
    </row>
    <row r="226" spans="1:17" x14ac:dyDescent="0.3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  <c r="L226" t="str">
        <f>VLOOKUP(D226, Products!A:C, 3, FALSE)</f>
        <v>Home</v>
      </c>
      <c r="M226" t="str">
        <f>IFERROR(VLOOKUP(C226, Customers!A:E, 5, FALSE), "Unknown")</f>
        <v>Corporate</v>
      </c>
      <c r="N226" t="str">
        <f>VLOOKUP(E226, Sales_Reps!A:C, 3, FALSE)</f>
        <v>East</v>
      </c>
      <c r="O226">
        <f>VLOOKUP(D226, Products!A:D, 4, FALSE)</f>
        <v>1556</v>
      </c>
      <c r="P226">
        <f>IFERROR(VLOOKUP(C226, Customers!A:C, 3, FALSE), 0)</f>
        <v>41</v>
      </c>
      <c r="Q226">
        <f t="shared" si="3"/>
        <v>0.52123076923076928</v>
      </c>
    </row>
    <row r="227" spans="1:17" x14ac:dyDescent="0.3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  <c r="L227" t="str">
        <f>VLOOKUP(D227, Products!A:C, 3, FALSE)</f>
        <v>Beauty</v>
      </c>
      <c r="M227" t="str">
        <f>IFERROR(VLOOKUP(C227, Customers!A:E, 5, FALSE), "Unknown")</f>
        <v>Retail</v>
      </c>
      <c r="N227" t="str">
        <f>VLOOKUP(E227, Sales_Reps!A:C, 3, FALSE)</f>
        <v>North</v>
      </c>
      <c r="O227">
        <f>VLOOKUP(D227, Products!A:D, 4, FALSE)</f>
        <v>2420</v>
      </c>
      <c r="P227">
        <f>IFERROR(VLOOKUP(C227, Customers!A:C, 3, FALSE), 0)</f>
        <v>65</v>
      </c>
      <c r="Q227">
        <f t="shared" si="3"/>
        <v>0.29855072463768118</v>
      </c>
    </row>
    <row r="228" spans="1:17" x14ac:dyDescent="0.3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  <c r="L228" t="str">
        <f>VLOOKUP(D228, Products!A:C, 3, FALSE)</f>
        <v>Beauty</v>
      </c>
      <c r="M228" t="str">
        <f>IFERROR(VLOOKUP(C228, Customers!A:E, 5, FALSE), "Unknown")</f>
        <v>Corporate</v>
      </c>
      <c r="N228" t="str">
        <f>VLOOKUP(E228, Sales_Reps!A:C, 3, FALSE)</f>
        <v>East</v>
      </c>
      <c r="O228">
        <f>VLOOKUP(D228, Products!A:D, 4, FALSE)</f>
        <v>2617</v>
      </c>
      <c r="P228">
        <f>IFERROR(VLOOKUP(C228, Customers!A:C, 3, FALSE), 0)</f>
        <v>47</v>
      </c>
      <c r="Q228">
        <f t="shared" si="3"/>
        <v>0.56957236842105263</v>
      </c>
    </row>
    <row r="229" spans="1:17" x14ac:dyDescent="0.3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  <c r="L229" t="str">
        <f>VLOOKUP(D229, Products!A:C, 3, FALSE)</f>
        <v>Beauty</v>
      </c>
      <c r="M229" t="str">
        <f>IFERROR(VLOOKUP(C229, Customers!A:E, 5, FALSE), "Unknown")</f>
        <v>SMB</v>
      </c>
      <c r="N229" t="str">
        <f>VLOOKUP(E229, Sales_Reps!A:C, 3, FALSE)</f>
        <v>East</v>
      </c>
      <c r="O229">
        <f>VLOOKUP(D229, Products!A:D, 4, FALSE)</f>
        <v>2617</v>
      </c>
      <c r="P229">
        <f>IFERROR(VLOOKUP(C229, Customers!A:C, 3, FALSE), 0)</f>
        <v>30</v>
      </c>
      <c r="Q229">
        <f t="shared" si="3"/>
        <v>0.56957236842105263</v>
      </c>
    </row>
    <row r="230" spans="1:17" x14ac:dyDescent="0.3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  <c r="L230" t="str">
        <f>VLOOKUP(D230, Products!A:C, 3, FALSE)</f>
        <v>Grocery</v>
      </c>
      <c r="M230" t="str">
        <f>IFERROR(VLOOKUP(C230, Customers!A:E, 5, FALSE), "Unknown")</f>
        <v>Retail</v>
      </c>
      <c r="N230" t="str">
        <f>VLOOKUP(E230, Sales_Reps!A:C, 3, FALSE)</f>
        <v>South</v>
      </c>
      <c r="O230">
        <f>VLOOKUP(D230, Products!A:D, 4, FALSE)</f>
        <v>1203</v>
      </c>
      <c r="P230">
        <f>IFERROR(VLOOKUP(C230, Customers!A:C, 3, FALSE), 0)</f>
        <v>38</v>
      </c>
      <c r="Q230">
        <f t="shared" si="3"/>
        <v>0.47004405286343615</v>
      </c>
    </row>
    <row r="231" spans="1:17" x14ac:dyDescent="0.3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  <c r="L231" t="str">
        <f>VLOOKUP(D231, Products!A:C, 3, FALSE)</f>
        <v>Beauty</v>
      </c>
      <c r="M231" t="str">
        <f>IFERROR(VLOOKUP(C231, Customers!A:E, 5, FALSE), "Unknown")</f>
        <v>Retail</v>
      </c>
      <c r="N231" t="str">
        <f>VLOOKUP(E231, Sales_Reps!A:C, 3, FALSE)</f>
        <v>South</v>
      </c>
      <c r="O231">
        <f>VLOOKUP(D231, Products!A:D, 4, FALSE)</f>
        <v>2768</v>
      </c>
      <c r="P231">
        <f>IFERROR(VLOOKUP(C231, Customers!A:C, 3, FALSE), 0)</f>
        <v>42</v>
      </c>
      <c r="Q231">
        <f t="shared" si="3"/>
        <v>0.43278688524590164</v>
      </c>
    </row>
    <row r="232" spans="1:17" x14ac:dyDescent="0.3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  <c r="L232" t="str">
        <f>VLOOKUP(D232, Products!A:C, 3, FALSE)</f>
        <v>Grocery</v>
      </c>
      <c r="M232" t="str">
        <f>IFERROR(VLOOKUP(C232, Customers!A:E, 5, FALSE), "Unknown")</f>
        <v>Corporate</v>
      </c>
      <c r="N232" t="str">
        <f>VLOOKUP(E232, Sales_Reps!A:C, 3, FALSE)</f>
        <v>North</v>
      </c>
      <c r="O232">
        <f>VLOOKUP(D232, Products!A:D, 4, FALSE)</f>
        <v>1182</v>
      </c>
      <c r="P232">
        <f>IFERROR(VLOOKUP(C232, Customers!A:C, 3, FALSE), 0)</f>
        <v>55</v>
      </c>
      <c r="Q232">
        <f t="shared" si="3"/>
        <v>0.50336134453781511</v>
      </c>
    </row>
    <row r="233" spans="1:17" x14ac:dyDescent="0.3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  <c r="L233" t="str">
        <f>VLOOKUP(D233, Products!A:C, 3, FALSE)</f>
        <v>Sports</v>
      </c>
      <c r="M233" t="str">
        <f>IFERROR(VLOOKUP(C233, Customers!A:E, 5, FALSE), "Unknown")</f>
        <v>Retail</v>
      </c>
      <c r="N233" t="str">
        <f>VLOOKUP(E233, Sales_Reps!A:C, 3, FALSE)</f>
        <v>West</v>
      </c>
      <c r="O233">
        <f>VLOOKUP(D233, Products!A:D, 4, FALSE)</f>
        <v>516</v>
      </c>
      <c r="P233">
        <f>IFERROR(VLOOKUP(C233, Customers!A:C, 3, FALSE), 0)</f>
        <v>38</v>
      </c>
      <c r="Q233">
        <f t="shared" si="3"/>
        <v>0.4891089108910891</v>
      </c>
    </row>
    <row r="234" spans="1:17" x14ac:dyDescent="0.3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  <c r="L234" t="str">
        <f>VLOOKUP(D234, Products!A:C, 3, FALSE)</f>
        <v>Sports</v>
      </c>
      <c r="M234" t="str">
        <f>IFERROR(VLOOKUP(C234, Customers!A:E, 5, FALSE), "Unknown")</f>
        <v>Retail</v>
      </c>
      <c r="N234" t="str">
        <f>VLOOKUP(E234, Sales_Reps!A:C, 3, FALSE)</f>
        <v>West</v>
      </c>
      <c r="O234">
        <f>VLOOKUP(D234, Products!A:D, 4, FALSE)</f>
        <v>2827</v>
      </c>
      <c r="P234">
        <f>IFERROR(VLOOKUP(C234, Customers!A:C, 3, FALSE), 0)</f>
        <v>46</v>
      </c>
      <c r="Q234">
        <f t="shared" si="3"/>
        <v>0.5926512968299712</v>
      </c>
    </row>
    <row r="235" spans="1:17" x14ac:dyDescent="0.3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  <c r="L235" t="str">
        <f>VLOOKUP(D235, Products!A:C, 3, FALSE)</f>
        <v>Beauty</v>
      </c>
      <c r="M235" t="str">
        <f>IFERROR(VLOOKUP(C235, Customers!A:E, 5, FALSE), "Unknown")</f>
        <v>Retail</v>
      </c>
      <c r="N235" t="str">
        <f>VLOOKUP(E235, Sales_Reps!A:C, 3, FALSE)</f>
        <v>West</v>
      </c>
      <c r="O235">
        <f>VLOOKUP(D235, Products!A:D, 4, FALSE)</f>
        <v>1219</v>
      </c>
      <c r="P235">
        <f>IFERROR(VLOOKUP(C235, Customers!A:C, 3, FALSE), 0)</f>
        <v>65</v>
      </c>
      <c r="Q235">
        <f t="shared" si="3"/>
        <v>0.46768558951965067</v>
      </c>
    </row>
    <row r="236" spans="1:17" x14ac:dyDescent="0.3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  <c r="L236" t="str">
        <f>VLOOKUP(D236, Products!A:C, 3, FALSE)</f>
        <v>Home</v>
      </c>
      <c r="M236" t="str">
        <f>IFERROR(VLOOKUP(C236, Customers!A:E, 5, FALSE), "Unknown")</f>
        <v>SMB</v>
      </c>
      <c r="N236" t="str">
        <f>VLOOKUP(E236, Sales_Reps!A:C, 3, FALSE)</f>
        <v>South</v>
      </c>
      <c r="O236">
        <f>VLOOKUP(D236, Products!A:D, 4, FALSE)</f>
        <v>288</v>
      </c>
      <c r="P236">
        <f>IFERROR(VLOOKUP(C236, Customers!A:C, 3, FALSE), 0)</f>
        <v>27</v>
      </c>
      <c r="Q236">
        <f t="shared" si="3"/>
        <v>0.22162162162162163</v>
      </c>
    </row>
    <row r="237" spans="1:17" x14ac:dyDescent="0.3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  <c r="L237" t="str">
        <f>VLOOKUP(D237, Products!A:C, 3, FALSE)</f>
        <v>Grocery</v>
      </c>
      <c r="M237" t="str">
        <f>IFERROR(VLOOKUP(C237, Customers!A:E, 5, FALSE), "Unknown")</f>
        <v>Corporate</v>
      </c>
      <c r="N237" t="str">
        <f>VLOOKUP(E237, Sales_Reps!A:C, 3, FALSE)</f>
        <v>East</v>
      </c>
      <c r="O237">
        <f>VLOOKUP(D237, Products!A:D, 4, FALSE)</f>
        <v>1412</v>
      </c>
      <c r="P237">
        <f>IFERROR(VLOOKUP(C237, Customers!A:C, 3, FALSE), 0)</f>
        <v>40</v>
      </c>
      <c r="Q237">
        <f t="shared" si="3"/>
        <v>0.37797356828193834</v>
      </c>
    </row>
    <row r="238" spans="1:17" x14ac:dyDescent="0.3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  <c r="L238" t="str">
        <f>VLOOKUP(D238, Products!A:C, 3, FALSE)</f>
        <v>Beauty</v>
      </c>
      <c r="M238" t="str">
        <f>IFERROR(VLOOKUP(C238, Customers!A:E, 5, FALSE), "Unknown")</f>
        <v>SMB</v>
      </c>
      <c r="N238" t="str">
        <f>VLOOKUP(E238, Sales_Reps!A:C, 3, FALSE)</f>
        <v>North</v>
      </c>
      <c r="O238">
        <f>VLOOKUP(D238, Products!A:D, 4, FALSE)</f>
        <v>2617</v>
      </c>
      <c r="P238">
        <f>IFERROR(VLOOKUP(C238, Customers!A:C, 3, FALSE), 0)</f>
        <v>59</v>
      </c>
      <c r="Q238">
        <f t="shared" si="3"/>
        <v>0.56957236842105263</v>
      </c>
    </row>
    <row r="239" spans="1:17" x14ac:dyDescent="0.3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  <c r="L239" t="str">
        <f>VLOOKUP(D239, Products!A:C, 3, FALSE)</f>
        <v>Electronics</v>
      </c>
      <c r="M239" t="str">
        <f>IFERROR(VLOOKUP(C239, Customers!A:E, 5, FALSE), "Unknown")</f>
        <v>Retail</v>
      </c>
      <c r="N239" t="str">
        <f>VLOOKUP(E239, Sales_Reps!A:C, 3, FALSE)</f>
        <v>East</v>
      </c>
      <c r="O239">
        <f>VLOOKUP(D239, Products!A:D, 4, FALSE)</f>
        <v>2405</v>
      </c>
      <c r="P239">
        <f>IFERROR(VLOOKUP(C239, Customers!A:C, 3, FALSE), 0)</f>
        <v>34</v>
      </c>
      <c r="Q239">
        <f t="shared" si="3"/>
        <v>0.54878048780487809</v>
      </c>
    </row>
    <row r="240" spans="1:17" x14ac:dyDescent="0.3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  <c r="L240" t="str">
        <f>VLOOKUP(D240, Products!A:C, 3, FALSE)</f>
        <v>Grocery</v>
      </c>
      <c r="M240" t="str">
        <f>IFERROR(VLOOKUP(C240, Customers!A:E, 5, FALSE), "Unknown")</f>
        <v>Retail</v>
      </c>
      <c r="N240" t="str">
        <f>VLOOKUP(E240, Sales_Reps!A:C, 3, FALSE)</f>
        <v>West</v>
      </c>
      <c r="O240">
        <f>VLOOKUP(D240, Products!A:D, 4, FALSE)</f>
        <v>2027</v>
      </c>
      <c r="P240">
        <f>IFERROR(VLOOKUP(C240, Customers!A:C, 3, FALSE), 0)</f>
        <v>26</v>
      </c>
      <c r="Q240">
        <f t="shared" si="3"/>
        <v>0.50196560196560192</v>
      </c>
    </row>
    <row r="241" spans="1:17" x14ac:dyDescent="0.3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  <c r="L241" t="str">
        <f>VLOOKUP(D241, Products!A:C, 3, FALSE)</f>
        <v>Electronics</v>
      </c>
      <c r="M241" t="str">
        <f>IFERROR(VLOOKUP(C241, Customers!A:E, 5, FALSE), "Unknown")</f>
        <v>Corporate</v>
      </c>
      <c r="N241" t="str">
        <f>VLOOKUP(E241, Sales_Reps!A:C, 3, FALSE)</f>
        <v>North</v>
      </c>
      <c r="O241">
        <f>VLOOKUP(D241, Products!A:D, 4, FALSE)</f>
        <v>128</v>
      </c>
      <c r="P241">
        <f>IFERROR(VLOOKUP(C241, Customers!A:C, 3, FALSE), 0)</f>
        <v>37</v>
      </c>
      <c r="Q241">
        <f t="shared" si="3"/>
        <v>0.57333333333333336</v>
      </c>
    </row>
    <row r="242" spans="1:17" x14ac:dyDescent="0.3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  <c r="L242" t="str">
        <f>VLOOKUP(D242, Products!A:C, 3, FALSE)</f>
        <v>Beauty</v>
      </c>
      <c r="M242" t="str">
        <f>IFERROR(VLOOKUP(C242, Customers!A:E, 5, FALSE), "Unknown")</f>
        <v>Retail</v>
      </c>
      <c r="N242" t="str">
        <f>VLOOKUP(E242, Sales_Reps!A:C, 3, FALSE)</f>
        <v>South</v>
      </c>
      <c r="O242">
        <f>VLOOKUP(D242, Products!A:D, 4, FALSE)</f>
        <v>2768</v>
      </c>
      <c r="P242">
        <f>IFERROR(VLOOKUP(C242, Customers!A:C, 3, FALSE), 0)</f>
        <v>56</v>
      </c>
      <c r="Q242">
        <f t="shared" si="3"/>
        <v>0.43278688524590164</v>
      </c>
    </row>
    <row r="243" spans="1:17" x14ac:dyDescent="0.3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  <c r="L243" t="str">
        <f>VLOOKUP(D243, Products!A:C, 3, FALSE)</f>
        <v>Sports</v>
      </c>
      <c r="M243" t="str">
        <f>IFERROR(VLOOKUP(C243, Customers!A:E, 5, FALSE), "Unknown")</f>
        <v>Corporate</v>
      </c>
      <c r="N243" t="str">
        <f>VLOOKUP(E243, Sales_Reps!A:C, 3, FALSE)</f>
        <v>West</v>
      </c>
      <c r="O243">
        <f>VLOOKUP(D243, Products!A:D, 4, FALSE)</f>
        <v>2028</v>
      </c>
      <c r="P243">
        <f>IFERROR(VLOOKUP(C243, Customers!A:C, 3, FALSE), 0)</f>
        <v>30</v>
      </c>
      <c r="Q243">
        <f t="shared" si="3"/>
        <v>0.29090909090909089</v>
      </c>
    </row>
    <row r="244" spans="1:17" x14ac:dyDescent="0.3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  <c r="L244" t="str">
        <f>VLOOKUP(D244, Products!A:C, 3, FALSE)</f>
        <v>Beauty</v>
      </c>
      <c r="M244" t="str">
        <f>IFERROR(VLOOKUP(C244, Customers!A:E, 5, FALSE), "Unknown")</f>
        <v>SMB</v>
      </c>
      <c r="N244" t="str">
        <f>VLOOKUP(E244, Sales_Reps!A:C, 3, FALSE)</f>
        <v>North</v>
      </c>
      <c r="O244">
        <f>VLOOKUP(D244, Products!A:D, 4, FALSE)</f>
        <v>647</v>
      </c>
      <c r="P244">
        <f>IFERROR(VLOOKUP(C244, Customers!A:C, 3, FALSE), 0)</f>
        <v>54</v>
      </c>
      <c r="Q244">
        <f t="shared" si="3"/>
        <v>0.57987012987012987</v>
      </c>
    </row>
    <row r="245" spans="1:17" x14ac:dyDescent="0.3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  <c r="L245" t="str">
        <f>VLOOKUP(D245, Products!A:C, 3, FALSE)</f>
        <v>Electronics</v>
      </c>
      <c r="M245" t="str">
        <f>IFERROR(VLOOKUP(C245, Customers!A:E, 5, FALSE), "Unknown")</f>
        <v>Retail</v>
      </c>
      <c r="N245" t="str">
        <f>VLOOKUP(E245, Sales_Reps!A:C, 3, FALSE)</f>
        <v>South</v>
      </c>
      <c r="O245">
        <f>VLOOKUP(D245, Products!A:D, 4, FALSE)</f>
        <v>1149</v>
      </c>
      <c r="P245">
        <f>IFERROR(VLOOKUP(C245, Customers!A:C, 3, FALSE), 0)</f>
        <v>22</v>
      </c>
      <c r="Q245">
        <f t="shared" si="3"/>
        <v>0.56477272727272732</v>
      </c>
    </row>
    <row r="246" spans="1:17" x14ac:dyDescent="0.3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  <c r="L246" t="str">
        <f>VLOOKUP(D246, Products!A:C, 3, FALSE)</f>
        <v>Apparel</v>
      </c>
      <c r="M246" t="str">
        <f>IFERROR(VLOOKUP(C246, Customers!A:E, 5, FALSE), "Unknown")</f>
        <v>Corporate</v>
      </c>
      <c r="N246" t="str">
        <f>VLOOKUP(E246, Sales_Reps!A:C, 3, FALSE)</f>
        <v>South</v>
      </c>
      <c r="O246">
        <f>VLOOKUP(D246, Products!A:D, 4, FALSE)</f>
        <v>1886</v>
      </c>
      <c r="P246">
        <f>IFERROR(VLOOKUP(C246, Customers!A:C, 3, FALSE), 0)</f>
        <v>42</v>
      </c>
      <c r="Q246">
        <f t="shared" si="3"/>
        <v>0.4031645569620253</v>
      </c>
    </row>
    <row r="247" spans="1:17" x14ac:dyDescent="0.3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  <c r="L247" t="str">
        <f>VLOOKUP(D247, Products!A:C, 3, FALSE)</f>
        <v>Home</v>
      </c>
      <c r="M247" t="str">
        <f>IFERROR(VLOOKUP(C247, Customers!A:E, 5, FALSE), "Unknown")</f>
        <v>SMB</v>
      </c>
      <c r="N247" t="str">
        <f>VLOOKUP(E247, Sales_Reps!A:C, 3, FALSE)</f>
        <v>North</v>
      </c>
      <c r="O247">
        <f>VLOOKUP(D247, Products!A:D, 4, FALSE)</f>
        <v>519</v>
      </c>
      <c r="P247">
        <f>IFERROR(VLOOKUP(C247, Customers!A:C, 3, FALSE), 0)</f>
        <v>48</v>
      </c>
      <c r="Q247">
        <f t="shared" si="3"/>
        <v>0.51944444444444449</v>
      </c>
    </row>
    <row r="248" spans="1:17" x14ac:dyDescent="0.3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  <c r="L248" t="str">
        <f>VLOOKUP(D248, Products!A:C, 3, FALSE)</f>
        <v>Sports</v>
      </c>
      <c r="M248" t="str">
        <f>IFERROR(VLOOKUP(C248, Customers!A:E, 5, FALSE), "Unknown")</f>
        <v>Retail</v>
      </c>
      <c r="N248" t="str">
        <f>VLOOKUP(E248, Sales_Reps!A:C, 3, FALSE)</f>
        <v>South</v>
      </c>
      <c r="O248">
        <f>VLOOKUP(D248, Products!A:D, 4, FALSE)</f>
        <v>516</v>
      </c>
      <c r="P248">
        <f>IFERROR(VLOOKUP(C248, Customers!A:C, 3, FALSE), 0)</f>
        <v>39</v>
      </c>
      <c r="Q248">
        <f t="shared" si="3"/>
        <v>0.4891089108910891</v>
      </c>
    </row>
    <row r="249" spans="1:17" x14ac:dyDescent="0.3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  <c r="L249" t="str">
        <f>VLOOKUP(D249, Products!A:C, 3, FALSE)</f>
        <v>Electronics</v>
      </c>
      <c r="M249" t="str">
        <f>IFERROR(VLOOKUP(C249, Customers!A:E, 5, FALSE), "Unknown")</f>
        <v>Corporate</v>
      </c>
      <c r="N249" t="str">
        <f>VLOOKUP(E249, Sales_Reps!A:C, 3, FALSE)</f>
        <v>West</v>
      </c>
      <c r="O249">
        <f>VLOOKUP(D249, Products!A:D, 4, FALSE)</f>
        <v>1052</v>
      </c>
      <c r="P249">
        <f>IFERROR(VLOOKUP(C249, Customers!A:C, 3, FALSE), 0)</f>
        <v>26</v>
      </c>
      <c r="Q249">
        <f t="shared" si="3"/>
        <v>0.5953846153846154</v>
      </c>
    </row>
    <row r="250" spans="1:17" x14ac:dyDescent="0.3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  <c r="L250" t="str">
        <f>VLOOKUP(D250, Products!A:C, 3, FALSE)</f>
        <v>Apparel</v>
      </c>
      <c r="M250" t="str">
        <f>IFERROR(VLOOKUP(C250, Customers!A:E, 5, FALSE), "Unknown")</f>
        <v>SMB</v>
      </c>
      <c r="N250" t="str">
        <f>VLOOKUP(E250, Sales_Reps!A:C, 3, FALSE)</f>
        <v>South</v>
      </c>
      <c r="O250">
        <f>VLOOKUP(D250, Products!A:D, 4, FALSE)</f>
        <v>1075</v>
      </c>
      <c r="P250">
        <f>IFERROR(VLOOKUP(C250, Customers!A:C, 3, FALSE), 0)</f>
        <v>55</v>
      </c>
      <c r="Q250">
        <f t="shared" si="3"/>
        <v>0.57171314741035861</v>
      </c>
    </row>
    <row r="251" spans="1:17" x14ac:dyDescent="0.3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  <c r="L251" t="str">
        <f>VLOOKUP(D251, Products!A:C, 3, FALSE)</f>
        <v>Grocery</v>
      </c>
      <c r="M251" t="str">
        <f>IFERROR(VLOOKUP(C251, Customers!A:E, 5, FALSE), "Unknown")</f>
        <v>Retail</v>
      </c>
      <c r="N251" t="str">
        <f>VLOOKUP(E251, Sales_Reps!A:C, 3, FALSE)</f>
        <v>East</v>
      </c>
      <c r="O251">
        <f>VLOOKUP(D251, Products!A:D, 4, FALSE)</f>
        <v>2027</v>
      </c>
      <c r="P251">
        <f>IFERROR(VLOOKUP(C251, Customers!A:C, 3, FALSE), 0)</f>
        <v>61</v>
      </c>
      <c r="Q251">
        <f t="shared" si="3"/>
        <v>0.50196560196560192</v>
      </c>
    </row>
    <row r="252" spans="1:17" x14ac:dyDescent="0.3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  <c r="L252" t="str">
        <f>VLOOKUP(D252, Products!A:C, 3, FALSE)</f>
        <v>Apparel</v>
      </c>
      <c r="M252" t="str">
        <f>IFERROR(VLOOKUP(C252, Customers!A:E, 5, FALSE), "Unknown")</f>
        <v>Retail</v>
      </c>
      <c r="N252" t="str">
        <f>VLOOKUP(E252, Sales_Reps!A:C, 3, FALSE)</f>
        <v>South</v>
      </c>
      <c r="O252">
        <f>VLOOKUP(D252, Products!A:D, 4, FALSE)</f>
        <v>391</v>
      </c>
      <c r="P252">
        <f>IFERROR(VLOOKUP(C252, Customers!A:C, 3, FALSE), 0)</f>
        <v>34</v>
      </c>
      <c r="Q252">
        <f t="shared" si="3"/>
        <v>0.52317073170731709</v>
      </c>
    </row>
    <row r="253" spans="1:17" x14ac:dyDescent="0.3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  <c r="L253" t="str">
        <f>VLOOKUP(D253, Products!A:C, 3, FALSE)</f>
        <v>Grocery</v>
      </c>
      <c r="M253" t="str">
        <f>IFERROR(VLOOKUP(C253, Customers!A:E, 5, FALSE), "Unknown")</f>
        <v>Retail</v>
      </c>
      <c r="N253" t="str">
        <f>VLOOKUP(E253, Sales_Reps!A:C, 3, FALSE)</f>
        <v>North</v>
      </c>
      <c r="O253">
        <f>VLOOKUP(D253, Products!A:D, 4, FALSE)</f>
        <v>434</v>
      </c>
      <c r="P253">
        <f>IFERROR(VLOOKUP(C253, Customers!A:C, 3, FALSE), 0)</f>
        <v>52</v>
      </c>
      <c r="Q253">
        <f t="shared" si="3"/>
        <v>0.5525773195876289</v>
      </c>
    </row>
    <row r="254" spans="1:17" x14ac:dyDescent="0.3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  <c r="L254" t="str">
        <f>VLOOKUP(D254, Products!A:C, 3, FALSE)</f>
        <v>Grocery</v>
      </c>
      <c r="M254" t="str">
        <f>IFERROR(VLOOKUP(C254, Customers!A:E, 5, FALSE), "Unknown")</f>
        <v>Corporate</v>
      </c>
      <c r="N254" t="str">
        <f>VLOOKUP(E254, Sales_Reps!A:C, 3, FALSE)</f>
        <v>South</v>
      </c>
      <c r="O254">
        <f>VLOOKUP(D254, Products!A:D, 4, FALSE)</f>
        <v>2027</v>
      </c>
      <c r="P254">
        <f>IFERROR(VLOOKUP(C254, Customers!A:C, 3, FALSE), 0)</f>
        <v>40</v>
      </c>
      <c r="Q254">
        <f t="shared" si="3"/>
        <v>0.50196560196560192</v>
      </c>
    </row>
    <row r="255" spans="1:17" x14ac:dyDescent="0.3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  <c r="L255" t="str">
        <f>VLOOKUP(D255, Products!A:C, 3, FALSE)</f>
        <v>Beauty</v>
      </c>
      <c r="M255" t="str">
        <f>IFERROR(VLOOKUP(C255, Customers!A:E, 5, FALSE), "Unknown")</f>
        <v>SMB</v>
      </c>
      <c r="N255" t="str">
        <f>VLOOKUP(E255, Sales_Reps!A:C, 3, FALSE)</f>
        <v>East</v>
      </c>
      <c r="O255">
        <f>VLOOKUP(D255, Products!A:D, 4, FALSE)</f>
        <v>2420</v>
      </c>
      <c r="P255">
        <f>IFERROR(VLOOKUP(C255, Customers!A:C, 3, FALSE), 0)</f>
        <v>42</v>
      </c>
      <c r="Q255">
        <f t="shared" si="3"/>
        <v>0.29855072463768118</v>
      </c>
    </row>
    <row r="256" spans="1:17" x14ac:dyDescent="0.3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  <c r="L256" t="str">
        <f>VLOOKUP(D256, Products!A:C, 3, FALSE)</f>
        <v>Grocery</v>
      </c>
      <c r="M256" t="str">
        <f>IFERROR(VLOOKUP(C256, Customers!A:E, 5, FALSE), "Unknown")</f>
        <v>Retail</v>
      </c>
      <c r="N256" t="str">
        <f>VLOOKUP(E256, Sales_Reps!A:C, 3, FALSE)</f>
        <v>South</v>
      </c>
      <c r="O256">
        <f>VLOOKUP(D256, Products!A:D, 4, FALSE)</f>
        <v>2436</v>
      </c>
      <c r="P256">
        <f>IFERROR(VLOOKUP(C256, Customers!A:C, 3, FALSE), 0)</f>
        <v>49</v>
      </c>
      <c r="Q256">
        <f t="shared" si="3"/>
        <v>0.35555555555555557</v>
      </c>
    </row>
    <row r="257" spans="1:17" x14ac:dyDescent="0.3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  <c r="L257" t="str">
        <f>VLOOKUP(D257, Products!A:C, 3, FALSE)</f>
        <v>Sports</v>
      </c>
      <c r="M257" t="str">
        <f>IFERROR(VLOOKUP(C257, Customers!A:E, 5, FALSE), "Unknown")</f>
        <v>Retail</v>
      </c>
      <c r="N257" t="str">
        <f>VLOOKUP(E257, Sales_Reps!A:C, 3, FALSE)</f>
        <v>North</v>
      </c>
      <c r="O257">
        <f>VLOOKUP(D257, Products!A:D, 4, FALSE)</f>
        <v>705</v>
      </c>
      <c r="P257">
        <f>IFERROR(VLOOKUP(C257, Customers!A:C, 3, FALSE), 0)</f>
        <v>44</v>
      </c>
      <c r="Q257">
        <f t="shared" si="3"/>
        <v>0.265625</v>
      </c>
    </row>
    <row r="258" spans="1:17" x14ac:dyDescent="0.3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  <c r="L258" t="str">
        <f>VLOOKUP(D258, Products!A:C, 3, FALSE)</f>
        <v>Electronics</v>
      </c>
      <c r="M258" t="str">
        <f>IFERROR(VLOOKUP(C258, Customers!A:E, 5, FALSE), "Unknown")</f>
        <v>Retail</v>
      </c>
      <c r="N258" t="str">
        <f>VLOOKUP(E258, Sales_Reps!A:C, 3, FALSE)</f>
        <v>East</v>
      </c>
      <c r="O258">
        <f>VLOOKUP(D258, Products!A:D, 4, FALSE)</f>
        <v>1665</v>
      </c>
      <c r="P258">
        <f>IFERROR(VLOOKUP(C258, Customers!A:C, 3, FALSE), 0)</f>
        <v>53</v>
      </c>
      <c r="Q258">
        <f t="shared" si="3"/>
        <v>0.53361344537815125</v>
      </c>
    </row>
    <row r="259" spans="1:17" x14ac:dyDescent="0.3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  <c r="L259" t="str">
        <f>VLOOKUP(D259, Products!A:C, 3, FALSE)</f>
        <v>Electronics</v>
      </c>
      <c r="M259" t="str">
        <f>IFERROR(VLOOKUP(C259, Customers!A:E, 5, FALSE), "Unknown")</f>
        <v>SMB</v>
      </c>
      <c r="N259" t="str">
        <f>VLOOKUP(E259, Sales_Reps!A:C, 3, FALSE)</f>
        <v>West</v>
      </c>
      <c r="O259">
        <f>VLOOKUP(D259, Products!A:D, 4, FALSE)</f>
        <v>1665</v>
      </c>
      <c r="P259">
        <f>IFERROR(VLOOKUP(C259, Customers!A:C, 3, FALSE), 0)</f>
        <v>65</v>
      </c>
      <c r="Q259">
        <f t="shared" ref="Q259:Q322" si="4">(G259 - O259) / G259</f>
        <v>0.53361344537815125</v>
      </c>
    </row>
    <row r="260" spans="1:17" x14ac:dyDescent="0.3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  <c r="L260" t="str">
        <f>VLOOKUP(D260, Products!A:C, 3, FALSE)</f>
        <v>Home</v>
      </c>
      <c r="M260" t="str">
        <f>IFERROR(VLOOKUP(C260, Customers!A:E, 5, FALSE), "Unknown")</f>
        <v>SMB</v>
      </c>
      <c r="N260" t="str">
        <f>VLOOKUP(E260, Sales_Reps!A:C, 3, FALSE)</f>
        <v>South</v>
      </c>
      <c r="O260">
        <f>VLOOKUP(D260, Products!A:D, 4, FALSE)</f>
        <v>519</v>
      </c>
      <c r="P260">
        <f>IFERROR(VLOOKUP(C260, Customers!A:C, 3, FALSE), 0)</f>
        <v>26</v>
      </c>
      <c r="Q260">
        <f t="shared" si="4"/>
        <v>0.51944444444444449</v>
      </c>
    </row>
    <row r="261" spans="1:17" x14ac:dyDescent="0.3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  <c r="L261" t="str">
        <f>VLOOKUP(D261, Products!A:C, 3, FALSE)</f>
        <v>Apparel</v>
      </c>
      <c r="M261" t="str">
        <f>IFERROR(VLOOKUP(C261, Customers!A:E, 5, FALSE), "Unknown")</f>
        <v>SMB</v>
      </c>
      <c r="N261" t="str">
        <f>VLOOKUP(E261, Sales_Reps!A:C, 3, FALSE)</f>
        <v>South</v>
      </c>
      <c r="O261">
        <f>VLOOKUP(D261, Products!A:D, 4, FALSE)</f>
        <v>1748</v>
      </c>
      <c r="P261">
        <f>IFERROR(VLOOKUP(C261, Customers!A:C, 3, FALSE), 0)</f>
        <v>40</v>
      </c>
      <c r="Q261">
        <f t="shared" si="4"/>
        <v>0.49333333333333335</v>
      </c>
    </row>
    <row r="262" spans="1:17" x14ac:dyDescent="0.3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  <c r="L262" t="str">
        <f>VLOOKUP(D262, Products!A:C, 3, FALSE)</f>
        <v>Electronics</v>
      </c>
      <c r="M262" t="str">
        <f>IFERROR(VLOOKUP(C262, Customers!A:E, 5, FALSE), "Unknown")</f>
        <v>Corporate</v>
      </c>
      <c r="N262" t="str">
        <f>VLOOKUP(E262, Sales_Reps!A:C, 3, FALSE)</f>
        <v>East</v>
      </c>
      <c r="O262">
        <f>VLOOKUP(D262, Products!A:D, 4, FALSE)</f>
        <v>1259</v>
      </c>
      <c r="P262">
        <f>IFERROR(VLOOKUP(C262, Customers!A:C, 3, FALSE), 0)</f>
        <v>22</v>
      </c>
      <c r="Q262">
        <f t="shared" si="4"/>
        <v>0.52669172932330832</v>
      </c>
    </row>
    <row r="263" spans="1:17" x14ac:dyDescent="0.3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  <c r="L263" t="str">
        <f>VLOOKUP(D263, Products!A:C, 3, FALSE)</f>
        <v>Sports</v>
      </c>
      <c r="M263" t="str">
        <f>IFERROR(VLOOKUP(C263, Customers!A:E, 5, FALSE), "Unknown")</f>
        <v>Corporate</v>
      </c>
      <c r="N263" t="str">
        <f>VLOOKUP(E263, Sales_Reps!A:C, 3, FALSE)</f>
        <v>South</v>
      </c>
      <c r="O263">
        <f>VLOOKUP(D263, Products!A:D, 4, FALSE)</f>
        <v>974</v>
      </c>
      <c r="P263">
        <f>IFERROR(VLOOKUP(C263, Customers!A:C, 3, FALSE), 0)</f>
        <v>46</v>
      </c>
      <c r="Q263">
        <f t="shared" si="4"/>
        <v>0.59416666666666662</v>
      </c>
    </row>
    <row r="264" spans="1:17" x14ac:dyDescent="0.3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  <c r="L264" t="str">
        <f>VLOOKUP(D264, Products!A:C, 3, FALSE)</f>
        <v>Electronics</v>
      </c>
      <c r="M264" t="str">
        <f>IFERROR(VLOOKUP(C264, Customers!A:E, 5, FALSE), "Unknown")</f>
        <v>Corporate</v>
      </c>
      <c r="N264" t="str">
        <f>VLOOKUP(E264, Sales_Reps!A:C, 3, FALSE)</f>
        <v>North</v>
      </c>
      <c r="O264">
        <f>VLOOKUP(D264, Products!A:D, 4, FALSE)</f>
        <v>1052</v>
      </c>
      <c r="P264">
        <f>IFERROR(VLOOKUP(C264, Customers!A:C, 3, FALSE), 0)</f>
        <v>31</v>
      </c>
      <c r="Q264">
        <f t="shared" si="4"/>
        <v>0.5953846153846154</v>
      </c>
    </row>
    <row r="265" spans="1:17" x14ac:dyDescent="0.3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  <c r="L265" t="str">
        <f>VLOOKUP(D265, Products!A:C, 3, FALSE)</f>
        <v>Grocery</v>
      </c>
      <c r="M265" t="str">
        <f>IFERROR(VLOOKUP(C265, Customers!A:E, 5, FALSE), "Unknown")</f>
        <v>Retail</v>
      </c>
      <c r="N265" t="str">
        <f>VLOOKUP(E265, Sales_Reps!A:C, 3, FALSE)</f>
        <v>North</v>
      </c>
      <c r="O265">
        <f>VLOOKUP(D265, Products!A:D, 4, FALSE)</f>
        <v>2911</v>
      </c>
      <c r="P265">
        <f>IFERROR(VLOOKUP(C265, Customers!A:C, 3, FALSE), 0)</f>
        <v>40</v>
      </c>
      <c r="Q265">
        <f t="shared" si="4"/>
        <v>0.28300492610837441</v>
      </c>
    </row>
    <row r="266" spans="1:17" x14ac:dyDescent="0.3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  <c r="L266" t="str">
        <f>VLOOKUP(D266, Products!A:C, 3, FALSE)</f>
        <v>Home</v>
      </c>
      <c r="M266" t="str">
        <f>IFERROR(VLOOKUP(C266, Customers!A:E, 5, FALSE), "Unknown")</f>
        <v>Corporate</v>
      </c>
      <c r="N266" t="str">
        <f>VLOOKUP(E266, Sales_Reps!A:C, 3, FALSE)</f>
        <v>East</v>
      </c>
      <c r="O266">
        <f>VLOOKUP(D266, Products!A:D, 4, FALSE)</f>
        <v>2549</v>
      </c>
      <c r="P266">
        <f>IFERROR(VLOOKUP(C266, Customers!A:C, 3, FALSE), 0)</f>
        <v>22</v>
      </c>
      <c r="Q266">
        <f t="shared" si="4"/>
        <v>0.53570127504553733</v>
      </c>
    </row>
    <row r="267" spans="1:17" x14ac:dyDescent="0.3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  <c r="L267" t="str">
        <f>VLOOKUP(D267, Products!A:C, 3, FALSE)</f>
        <v>Home</v>
      </c>
      <c r="M267" t="str">
        <f>IFERROR(VLOOKUP(C267, Customers!A:E, 5, FALSE), "Unknown")</f>
        <v>Retail</v>
      </c>
      <c r="N267" t="str">
        <f>VLOOKUP(E267, Sales_Reps!A:C, 3, FALSE)</f>
        <v>East</v>
      </c>
      <c r="O267">
        <f>VLOOKUP(D267, Products!A:D, 4, FALSE)</f>
        <v>288</v>
      </c>
      <c r="P267">
        <f>IFERROR(VLOOKUP(C267, Customers!A:C, 3, FALSE), 0)</f>
        <v>49</v>
      </c>
      <c r="Q267">
        <f t="shared" si="4"/>
        <v>0.22162162162162163</v>
      </c>
    </row>
    <row r="268" spans="1:17" x14ac:dyDescent="0.3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  <c r="L268" t="str">
        <f>VLOOKUP(D268, Products!A:C, 3, FALSE)</f>
        <v>Apparel</v>
      </c>
      <c r="M268" t="str">
        <f>IFERROR(VLOOKUP(C268, Customers!A:E, 5, FALSE), "Unknown")</f>
        <v>SMB</v>
      </c>
      <c r="N268" t="str">
        <f>VLOOKUP(E268, Sales_Reps!A:C, 3, FALSE)</f>
        <v>East</v>
      </c>
      <c r="O268">
        <f>VLOOKUP(D268, Products!A:D, 4, FALSE)</f>
        <v>396</v>
      </c>
      <c r="P268">
        <f>IFERROR(VLOOKUP(C268, Customers!A:C, 3, FALSE), 0)</f>
        <v>38</v>
      </c>
      <c r="Q268">
        <f t="shared" si="4"/>
        <v>0.36129032258064514</v>
      </c>
    </row>
    <row r="269" spans="1:17" x14ac:dyDescent="0.3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  <c r="L269" t="str">
        <f>VLOOKUP(D269, Products!A:C, 3, FALSE)</f>
        <v>Home</v>
      </c>
      <c r="M269" t="str">
        <f>IFERROR(VLOOKUP(C269, Customers!A:E, 5, FALSE), "Unknown")</f>
        <v>Retail</v>
      </c>
      <c r="N269" t="str">
        <f>VLOOKUP(E269, Sales_Reps!A:C, 3, FALSE)</f>
        <v>West</v>
      </c>
      <c r="O269">
        <f>VLOOKUP(D269, Products!A:D, 4, FALSE)</f>
        <v>1556</v>
      </c>
      <c r="P269">
        <f>IFERROR(VLOOKUP(C269, Customers!A:C, 3, FALSE), 0)</f>
        <v>26</v>
      </c>
      <c r="Q269">
        <f t="shared" si="4"/>
        <v>0.52123076923076928</v>
      </c>
    </row>
    <row r="270" spans="1:17" x14ac:dyDescent="0.3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  <c r="L270" t="str">
        <f>VLOOKUP(D270, Products!A:C, 3, FALSE)</f>
        <v>Beauty</v>
      </c>
      <c r="M270" t="str">
        <f>IFERROR(VLOOKUP(C270, Customers!A:E, 5, FALSE), "Unknown")</f>
        <v>SMB</v>
      </c>
      <c r="N270" t="str">
        <f>VLOOKUP(E270, Sales_Reps!A:C, 3, FALSE)</f>
        <v>South</v>
      </c>
      <c r="O270">
        <f>VLOOKUP(D270, Products!A:D, 4, FALSE)</f>
        <v>2617</v>
      </c>
      <c r="P270">
        <f>IFERROR(VLOOKUP(C270, Customers!A:C, 3, FALSE), 0)</f>
        <v>54</v>
      </c>
      <c r="Q270">
        <f t="shared" si="4"/>
        <v>0.56957236842105263</v>
      </c>
    </row>
    <row r="271" spans="1:17" x14ac:dyDescent="0.3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  <c r="L271" t="str">
        <f>VLOOKUP(D271, Products!A:C, 3, FALSE)</f>
        <v>Apparel</v>
      </c>
      <c r="M271" t="str">
        <f>IFERROR(VLOOKUP(C271, Customers!A:E, 5, FALSE), "Unknown")</f>
        <v>Corporate</v>
      </c>
      <c r="N271" t="str">
        <f>VLOOKUP(E271, Sales_Reps!A:C, 3, FALSE)</f>
        <v>South</v>
      </c>
      <c r="O271">
        <f>VLOOKUP(D271, Products!A:D, 4, FALSE)</f>
        <v>2611</v>
      </c>
      <c r="P271">
        <f>IFERROR(VLOOKUP(C271, Customers!A:C, 3, FALSE), 0)</f>
        <v>30</v>
      </c>
      <c r="Q271">
        <f t="shared" si="4"/>
        <v>0.28269230769230769</v>
      </c>
    </row>
    <row r="272" spans="1:17" x14ac:dyDescent="0.3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  <c r="L272" t="str">
        <f>VLOOKUP(D272, Products!A:C, 3, FALSE)</f>
        <v>Apparel</v>
      </c>
      <c r="M272" t="str">
        <f>IFERROR(VLOOKUP(C272, Customers!A:E, 5, FALSE), "Unknown")</f>
        <v>Retail</v>
      </c>
      <c r="N272" t="str">
        <f>VLOOKUP(E272, Sales_Reps!A:C, 3, FALSE)</f>
        <v>North</v>
      </c>
      <c r="O272">
        <f>VLOOKUP(D272, Products!A:D, 4, FALSE)</f>
        <v>1886</v>
      </c>
      <c r="P272">
        <f>IFERROR(VLOOKUP(C272, Customers!A:C, 3, FALSE), 0)</f>
        <v>49</v>
      </c>
      <c r="Q272">
        <f t="shared" si="4"/>
        <v>0.4031645569620253</v>
      </c>
    </row>
    <row r="273" spans="1:17" x14ac:dyDescent="0.3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  <c r="L273" t="str">
        <f>VLOOKUP(D273, Products!A:C, 3, FALSE)</f>
        <v>Electronics</v>
      </c>
      <c r="M273" t="str">
        <f>IFERROR(VLOOKUP(C273, Customers!A:E, 5, FALSE), "Unknown")</f>
        <v>SMB</v>
      </c>
      <c r="N273" t="str">
        <f>VLOOKUP(E273, Sales_Reps!A:C, 3, FALSE)</f>
        <v>North</v>
      </c>
      <c r="O273">
        <f>VLOOKUP(D273, Products!A:D, 4, FALSE)</f>
        <v>1559</v>
      </c>
      <c r="P273">
        <f>IFERROR(VLOOKUP(C273, Customers!A:C, 3, FALSE), 0)</f>
        <v>43</v>
      </c>
      <c r="Q273">
        <f t="shared" si="4"/>
        <v>0.59715762273901807</v>
      </c>
    </row>
    <row r="274" spans="1:17" x14ac:dyDescent="0.3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  <c r="L274" t="str">
        <f>VLOOKUP(D274, Products!A:C, 3, FALSE)</f>
        <v>Home</v>
      </c>
      <c r="M274" t="str">
        <f>IFERROR(VLOOKUP(C274, Customers!A:E, 5, FALSE), "Unknown")</f>
        <v>Retail</v>
      </c>
      <c r="N274" t="str">
        <f>VLOOKUP(E274, Sales_Reps!A:C, 3, FALSE)</f>
        <v>West</v>
      </c>
      <c r="O274">
        <f>VLOOKUP(D274, Products!A:D, 4, FALSE)</f>
        <v>329</v>
      </c>
      <c r="P274">
        <f>IFERROR(VLOOKUP(C274, Customers!A:C, 3, FALSE), 0)</f>
        <v>43</v>
      </c>
      <c r="Q274">
        <f t="shared" si="4"/>
        <v>0.50151515151515147</v>
      </c>
    </row>
    <row r="275" spans="1:17" x14ac:dyDescent="0.3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  <c r="L275" t="str">
        <f>VLOOKUP(D275, Products!A:C, 3, FALSE)</f>
        <v>Grocery</v>
      </c>
      <c r="M275" t="str">
        <f>IFERROR(VLOOKUP(C275, Customers!A:E, 5, FALSE), "Unknown")</f>
        <v>Corporate</v>
      </c>
      <c r="N275" t="str">
        <f>VLOOKUP(E275, Sales_Reps!A:C, 3, FALSE)</f>
        <v>South</v>
      </c>
      <c r="O275">
        <f>VLOOKUP(D275, Products!A:D, 4, FALSE)</f>
        <v>2911</v>
      </c>
      <c r="P275">
        <f>IFERROR(VLOOKUP(C275, Customers!A:C, 3, FALSE), 0)</f>
        <v>24</v>
      </c>
      <c r="Q275">
        <f t="shared" si="4"/>
        <v>0.28300492610837441</v>
      </c>
    </row>
    <row r="276" spans="1:17" x14ac:dyDescent="0.3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  <c r="L276" t="str">
        <f>VLOOKUP(D276, Products!A:C, 3, FALSE)</f>
        <v>Home</v>
      </c>
      <c r="M276" t="str">
        <f>IFERROR(VLOOKUP(C276, Customers!A:E, 5, FALSE), "Unknown")</f>
        <v>SMB</v>
      </c>
      <c r="N276" t="str">
        <f>VLOOKUP(E276, Sales_Reps!A:C, 3, FALSE)</f>
        <v>South</v>
      </c>
      <c r="O276">
        <f>VLOOKUP(D276, Products!A:D, 4, FALSE)</f>
        <v>2459</v>
      </c>
      <c r="P276">
        <f>IFERROR(VLOOKUP(C276, Customers!A:C, 3, FALSE), 0)</f>
        <v>38</v>
      </c>
      <c r="Q276">
        <f t="shared" si="4"/>
        <v>0.51594488188976373</v>
      </c>
    </row>
    <row r="277" spans="1:17" x14ac:dyDescent="0.3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  <c r="L277" t="str">
        <f>VLOOKUP(D277, Products!A:C, 3, FALSE)</f>
        <v>Electronics</v>
      </c>
      <c r="M277" t="str">
        <f>IFERROR(VLOOKUP(C277, Customers!A:E, 5, FALSE), "Unknown")</f>
        <v>Retail</v>
      </c>
      <c r="N277" t="str">
        <f>VLOOKUP(E277, Sales_Reps!A:C, 3, FALSE)</f>
        <v>North</v>
      </c>
      <c r="O277">
        <f>VLOOKUP(D277, Products!A:D, 4, FALSE)</f>
        <v>1665</v>
      </c>
      <c r="P277">
        <f>IFERROR(VLOOKUP(C277, Customers!A:C, 3, FALSE), 0)</f>
        <v>46</v>
      </c>
      <c r="Q277">
        <f t="shared" si="4"/>
        <v>0.53361344537815125</v>
      </c>
    </row>
    <row r="278" spans="1:17" x14ac:dyDescent="0.3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  <c r="L278" t="str">
        <f>VLOOKUP(D278, Products!A:C, 3, FALSE)</f>
        <v>Apparel</v>
      </c>
      <c r="M278" t="str">
        <f>IFERROR(VLOOKUP(C278, Customers!A:E, 5, FALSE), "Unknown")</f>
        <v>SMB</v>
      </c>
      <c r="N278" t="str">
        <f>VLOOKUP(E278, Sales_Reps!A:C, 3, FALSE)</f>
        <v>East</v>
      </c>
      <c r="O278">
        <f>VLOOKUP(D278, Products!A:D, 4, FALSE)</f>
        <v>396</v>
      </c>
      <c r="P278">
        <f>IFERROR(VLOOKUP(C278, Customers!A:C, 3, FALSE), 0)</f>
        <v>27</v>
      </c>
      <c r="Q278">
        <f t="shared" si="4"/>
        <v>0.36129032258064514</v>
      </c>
    </row>
    <row r="279" spans="1:17" x14ac:dyDescent="0.3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  <c r="L279" t="str">
        <f>VLOOKUP(D279, Products!A:C, 3, FALSE)</f>
        <v>Apparel</v>
      </c>
      <c r="M279" t="str">
        <f>IFERROR(VLOOKUP(C279, Customers!A:E, 5, FALSE), "Unknown")</f>
        <v>Retail</v>
      </c>
      <c r="N279" t="str">
        <f>VLOOKUP(E279, Sales_Reps!A:C, 3, FALSE)</f>
        <v>South</v>
      </c>
      <c r="O279">
        <f>VLOOKUP(D279, Products!A:D, 4, FALSE)</f>
        <v>1748</v>
      </c>
      <c r="P279">
        <f>IFERROR(VLOOKUP(C279, Customers!A:C, 3, FALSE), 0)</f>
        <v>59</v>
      </c>
      <c r="Q279">
        <f t="shared" si="4"/>
        <v>0.49333333333333335</v>
      </c>
    </row>
    <row r="280" spans="1:17" x14ac:dyDescent="0.3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  <c r="L280" t="str">
        <f>VLOOKUP(D280, Products!A:C, 3, FALSE)</f>
        <v>Beauty</v>
      </c>
      <c r="M280" t="str">
        <f>IFERROR(VLOOKUP(C280, Customers!A:E, 5, FALSE), "Unknown")</f>
        <v>SMB</v>
      </c>
      <c r="N280" t="str">
        <f>VLOOKUP(E280, Sales_Reps!A:C, 3, FALSE)</f>
        <v>North</v>
      </c>
      <c r="O280">
        <f>VLOOKUP(D280, Products!A:D, 4, FALSE)</f>
        <v>2237</v>
      </c>
      <c r="P280">
        <f>IFERROR(VLOOKUP(C280, Customers!A:C, 3, FALSE), 0)</f>
        <v>55</v>
      </c>
      <c r="Q280">
        <f t="shared" si="4"/>
        <v>0.56137254901960787</v>
      </c>
    </row>
    <row r="281" spans="1:17" x14ac:dyDescent="0.3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  <c r="L281" t="str">
        <f>VLOOKUP(D281, Products!A:C, 3, FALSE)</f>
        <v>Electronics</v>
      </c>
      <c r="M281" t="str">
        <f>IFERROR(VLOOKUP(C281, Customers!A:E, 5, FALSE), "Unknown")</f>
        <v>Retail</v>
      </c>
      <c r="N281" t="str">
        <f>VLOOKUP(E281, Sales_Reps!A:C, 3, FALSE)</f>
        <v>North</v>
      </c>
      <c r="O281">
        <f>VLOOKUP(D281, Products!A:D, 4, FALSE)</f>
        <v>1559</v>
      </c>
      <c r="P281">
        <f>IFERROR(VLOOKUP(C281, Customers!A:C, 3, FALSE), 0)</f>
        <v>55</v>
      </c>
      <c r="Q281">
        <f t="shared" si="4"/>
        <v>0.59715762273901807</v>
      </c>
    </row>
    <row r="282" spans="1:17" x14ac:dyDescent="0.3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  <c r="L282" t="str">
        <f>VLOOKUP(D282, Products!A:C, 3, FALSE)</f>
        <v>Electronics</v>
      </c>
      <c r="M282" t="str">
        <f>IFERROR(VLOOKUP(C282, Customers!A:E, 5, FALSE), "Unknown")</f>
        <v>Corporate</v>
      </c>
      <c r="N282" t="str">
        <f>VLOOKUP(E282, Sales_Reps!A:C, 3, FALSE)</f>
        <v>West</v>
      </c>
      <c r="O282">
        <f>VLOOKUP(D282, Products!A:D, 4, FALSE)</f>
        <v>517</v>
      </c>
      <c r="P282">
        <f>IFERROR(VLOOKUP(C282, Customers!A:C, 3, FALSE), 0)</f>
        <v>40</v>
      </c>
      <c r="Q282">
        <f t="shared" si="4"/>
        <v>0.57622950819672136</v>
      </c>
    </row>
    <row r="283" spans="1:17" x14ac:dyDescent="0.3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  <c r="L283" t="str">
        <f>VLOOKUP(D283, Products!A:C, 3, FALSE)</f>
        <v>Home</v>
      </c>
      <c r="M283" t="str">
        <f>IFERROR(VLOOKUP(C283, Customers!A:E, 5, FALSE), "Unknown")</f>
        <v>Retail</v>
      </c>
      <c r="N283" t="str">
        <f>VLOOKUP(E283, Sales_Reps!A:C, 3, FALSE)</f>
        <v>East</v>
      </c>
      <c r="O283">
        <f>VLOOKUP(D283, Products!A:D, 4, FALSE)</f>
        <v>2549</v>
      </c>
      <c r="P283">
        <f>IFERROR(VLOOKUP(C283, Customers!A:C, 3, FALSE), 0)</f>
        <v>32</v>
      </c>
      <c r="Q283">
        <f t="shared" si="4"/>
        <v>0.53570127504553733</v>
      </c>
    </row>
    <row r="284" spans="1:17" x14ac:dyDescent="0.3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  <c r="L284" t="str">
        <f>VLOOKUP(D284, Products!A:C, 3, FALSE)</f>
        <v>Beauty</v>
      </c>
      <c r="M284" t="str">
        <f>IFERROR(VLOOKUP(C284, Customers!A:E, 5, FALSE), "Unknown")</f>
        <v>Retail</v>
      </c>
      <c r="N284" t="str">
        <f>VLOOKUP(E284, Sales_Reps!A:C, 3, FALSE)</f>
        <v>North</v>
      </c>
      <c r="O284">
        <f>VLOOKUP(D284, Products!A:D, 4, FALSE)</f>
        <v>1222</v>
      </c>
      <c r="P284">
        <f>IFERROR(VLOOKUP(C284, Customers!A:C, 3, FALSE), 0)</f>
        <v>23</v>
      </c>
      <c r="Q284">
        <f t="shared" si="4"/>
        <v>0.2593939393939394</v>
      </c>
    </row>
    <row r="285" spans="1:17" x14ac:dyDescent="0.3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  <c r="L285" t="str">
        <f>VLOOKUP(D285, Products!A:C, 3, FALSE)</f>
        <v>Electronics</v>
      </c>
      <c r="M285" t="str">
        <f>IFERROR(VLOOKUP(C285, Customers!A:E, 5, FALSE), "Unknown")</f>
        <v>Retail</v>
      </c>
      <c r="N285" t="str">
        <f>VLOOKUP(E285, Sales_Reps!A:C, 3, FALSE)</f>
        <v>North</v>
      </c>
      <c r="O285">
        <f>VLOOKUP(D285, Products!A:D, 4, FALSE)</f>
        <v>1259</v>
      </c>
      <c r="P285">
        <f>IFERROR(VLOOKUP(C285, Customers!A:C, 3, FALSE), 0)</f>
        <v>50</v>
      </c>
      <c r="Q285">
        <f t="shared" si="4"/>
        <v>0.52669172932330832</v>
      </c>
    </row>
    <row r="286" spans="1:17" x14ac:dyDescent="0.3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  <c r="L286" t="str">
        <f>VLOOKUP(D286, Products!A:C, 3, FALSE)</f>
        <v>Grocery</v>
      </c>
      <c r="M286" t="str">
        <f>IFERROR(VLOOKUP(C286, Customers!A:E, 5, FALSE), "Unknown")</f>
        <v>Corporate</v>
      </c>
      <c r="N286" t="str">
        <f>VLOOKUP(E286, Sales_Reps!A:C, 3, FALSE)</f>
        <v>North</v>
      </c>
      <c r="O286">
        <f>VLOOKUP(D286, Products!A:D, 4, FALSE)</f>
        <v>1010</v>
      </c>
      <c r="P286">
        <f>IFERROR(VLOOKUP(C286, Customers!A:C, 3, FALSE), 0)</f>
        <v>59</v>
      </c>
      <c r="Q286">
        <f t="shared" si="4"/>
        <v>0.54298642533936647</v>
      </c>
    </row>
    <row r="287" spans="1:17" x14ac:dyDescent="0.3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  <c r="L287" t="str">
        <f>VLOOKUP(D287, Products!A:C, 3, FALSE)</f>
        <v>Electronics</v>
      </c>
      <c r="M287" t="str">
        <f>IFERROR(VLOOKUP(C287, Customers!A:E, 5, FALSE), "Unknown")</f>
        <v>SMB</v>
      </c>
      <c r="N287" t="str">
        <f>VLOOKUP(E287, Sales_Reps!A:C, 3, FALSE)</f>
        <v>North</v>
      </c>
      <c r="O287">
        <f>VLOOKUP(D287, Products!A:D, 4, FALSE)</f>
        <v>1052</v>
      </c>
      <c r="P287">
        <f>IFERROR(VLOOKUP(C287, Customers!A:C, 3, FALSE), 0)</f>
        <v>55</v>
      </c>
      <c r="Q287">
        <f t="shared" si="4"/>
        <v>0.5953846153846154</v>
      </c>
    </row>
    <row r="288" spans="1:17" x14ac:dyDescent="0.3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  <c r="L288" t="str">
        <f>VLOOKUP(D288, Products!A:C, 3, FALSE)</f>
        <v>Beauty</v>
      </c>
      <c r="M288" t="str">
        <f>IFERROR(VLOOKUP(C288, Customers!A:E, 5, FALSE), "Unknown")</f>
        <v>Retail</v>
      </c>
      <c r="N288" t="str">
        <f>VLOOKUP(E288, Sales_Reps!A:C, 3, FALSE)</f>
        <v>West</v>
      </c>
      <c r="O288">
        <f>VLOOKUP(D288, Products!A:D, 4, FALSE)</f>
        <v>1626</v>
      </c>
      <c r="P288">
        <f>IFERROR(VLOOKUP(C288, Customers!A:C, 3, FALSE), 0)</f>
        <v>27</v>
      </c>
      <c r="Q288">
        <f t="shared" si="4"/>
        <v>0.46158940397350995</v>
      </c>
    </row>
    <row r="289" spans="1:17" x14ac:dyDescent="0.3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  <c r="L289" t="str">
        <f>VLOOKUP(D289, Products!A:C, 3, FALSE)</f>
        <v>Home</v>
      </c>
      <c r="M289" t="str">
        <f>IFERROR(VLOOKUP(C289, Customers!A:E, 5, FALSE), "Unknown")</f>
        <v>Corporate</v>
      </c>
      <c r="N289" t="str">
        <f>VLOOKUP(E289, Sales_Reps!A:C, 3, FALSE)</f>
        <v>North</v>
      </c>
      <c r="O289">
        <f>VLOOKUP(D289, Products!A:D, 4, FALSE)</f>
        <v>288</v>
      </c>
      <c r="P289">
        <f>IFERROR(VLOOKUP(C289, Customers!A:C, 3, FALSE), 0)</f>
        <v>33</v>
      </c>
      <c r="Q289">
        <f t="shared" si="4"/>
        <v>0.22162162162162163</v>
      </c>
    </row>
    <row r="290" spans="1:17" x14ac:dyDescent="0.3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  <c r="L290" t="str">
        <f>VLOOKUP(D290, Products!A:C, 3, FALSE)</f>
        <v>Electronics</v>
      </c>
      <c r="M290" t="str">
        <f>IFERROR(VLOOKUP(C290, Customers!A:E, 5, FALSE), "Unknown")</f>
        <v>Retail</v>
      </c>
      <c r="N290" t="str">
        <f>VLOOKUP(E290, Sales_Reps!A:C, 3, FALSE)</f>
        <v>North</v>
      </c>
      <c r="O290">
        <f>VLOOKUP(D290, Products!A:D, 4, FALSE)</f>
        <v>2405</v>
      </c>
      <c r="P290">
        <f>IFERROR(VLOOKUP(C290, Customers!A:C, 3, FALSE), 0)</f>
        <v>53</v>
      </c>
      <c r="Q290">
        <f t="shared" si="4"/>
        <v>0.54878048780487809</v>
      </c>
    </row>
    <row r="291" spans="1:17" x14ac:dyDescent="0.3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  <c r="L291" t="str">
        <f>VLOOKUP(D291, Products!A:C, 3, FALSE)</f>
        <v>Apparel</v>
      </c>
      <c r="M291" t="str">
        <f>IFERROR(VLOOKUP(C291, Customers!A:E, 5, FALSE), "Unknown")</f>
        <v>Retail</v>
      </c>
      <c r="N291" t="str">
        <f>VLOOKUP(E291, Sales_Reps!A:C, 3, FALSE)</f>
        <v>West</v>
      </c>
      <c r="O291">
        <f>VLOOKUP(D291, Products!A:D, 4, FALSE)</f>
        <v>2629</v>
      </c>
      <c r="P291">
        <f>IFERROR(VLOOKUP(C291, Customers!A:C, 3, FALSE), 0)</f>
        <v>37</v>
      </c>
      <c r="Q291">
        <f t="shared" si="4"/>
        <v>0.26151685393258428</v>
      </c>
    </row>
    <row r="292" spans="1:17" x14ac:dyDescent="0.3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  <c r="L292" t="str">
        <f>VLOOKUP(D292, Products!A:C, 3, FALSE)</f>
        <v>Sports</v>
      </c>
      <c r="M292" t="str">
        <f>IFERROR(VLOOKUP(C292, Customers!A:E, 5, FALSE), "Unknown")</f>
        <v>Retail</v>
      </c>
      <c r="N292" t="str">
        <f>VLOOKUP(E292, Sales_Reps!A:C, 3, FALSE)</f>
        <v>West</v>
      </c>
      <c r="O292">
        <f>VLOOKUP(D292, Products!A:D, 4, FALSE)</f>
        <v>516</v>
      </c>
      <c r="P292">
        <f>IFERROR(VLOOKUP(C292, Customers!A:C, 3, FALSE), 0)</f>
        <v>34</v>
      </c>
      <c r="Q292">
        <f t="shared" si="4"/>
        <v>0.4891089108910891</v>
      </c>
    </row>
    <row r="293" spans="1:17" x14ac:dyDescent="0.3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  <c r="L293" t="str">
        <f>VLOOKUP(D293, Products!A:C, 3, FALSE)</f>
        <v>Sports</v>
      </c>
      <c r="M293" t="str">
        <f>IFERROR(VLOOKUP(C293, Customers!A:E, 5, FALSE), "Unknown")</f>
        <v>Corporate</v>
      </c>
      <c r="N293" t="str">
        <f>VLOOKUP(E293, Sales_Reps!A:C, 3, FALSE)</f>
        <v>North</v>
      </c>
      <c r="O293">
        <f>VLOOKUP(D293, Products!A:D, 4, FALSE)</f>
        <v>2827</v>
      </c>
      <c r="P293">
        <f>IFERROR(VLOOKUP(C293, Customers!A:C, 3, FALSE), 0)</f>
        <v>41</v>
      </c>
      <c r="Q293">
        <f t="shared" si="4"/>
        <v>0.5926512968299712</v>
      </c>
    </row>
    <row r="294" spans="1:17" x14ac:dyDescent="0.3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  <c r="L294" t="str">
        <f>VLOOKUP(D294, Products!A:C, 3, FALSE)</f>
        <v>Apparel</v>
      </c>
      <c r="M294" t="str">
        <f>IFERROR(VLOOKUP(C294, Customers!A:E, 5, FALSE), "Unknown")</f>
        <v>Retail</v>
      </c>
      <c r="N294" t="str">
        <f>VLOOKUP(E294, Sales_Reps!A:C, 3, FALSE)</f>
        <v>South</v>
      </c>
      <c r="O294">
        <f>VLOOKUP(D294, Products!A:D, 4, FALSE)</f>
        <v>1886</v>
      </c>
      <c r="P294">
        <f>IFERROR(VLOOKUP(C294, Customers!A:C, 3, FALSE), 0)</f>
        <v>46</v>
      </c>
      <c r="Q294">
        <f t="shared" si="4"/>
        <v>0.4031645569620253</v>
      </c>
    </row>
    <row r="295" spans="1:17" x14ac:dyDescent="0.3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  <c r="L295" t="str">
        <f>VLOOKUP(D295, Products!A:C, 3, FALSE)</f>
        <v>Grocery</v>
      </c>
      <c r="M295" t="str">
        <f>IFERROR(VLOOKUP(C295, Customers!A:E, 5, FALSE), "Unknown")</f>
        <v>Retail</v>
      </c>
      <c r="N295" t="str">
        <f>VLOOKUP(E295, Sales_Reps!A:C, 3, FALSE)</f>
        <v>North</v>
      </c>
      <c r="O295">
        <f>VLOOKUP(D295, Products!A:D, 4, FALSE)</f>
        <v>2214</v>
      </c>
      <c r="P295">
        <f>IFERROR(VLOOKUP(C295, Customers!A:C, 3, FALSE), 0)</f>
        <v>49</v>
      </c>
      <c r="Q295">
        <f t="shared" si="4"/>
        <v>0.39508196721311473</v>
      </c>
    </row>
    <row r="296" spans="1:17" x14ac:dyDescent="0.3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  <c r="L296" t="str">
        <f>VLOOKUP(D296, Products!A:C, 3, FALSE)</f>
        <v>Grocery</v>
      </c>
      <c r="M296" t="str">
        <f>IFERROR(VLOOKUP(C296, Customers!A:E, 5, FALSE), "Unknown")</f>
        <v>Retail</v>
      </c>
      <c r="N296" t="str">
        <f>VLOOKUP(E296, Sales_Reps!A:C, 3, FALSE)</f>
        <v>North</v>
      </c>
      <c r="O296">
        <f>VLOOKUP(D296, Products!A:D, 4, FALSE)</f>
        <v>1203</v>
      </c>
      <c r="P296">
        <f>IFERROR(VLOOKUP(C296, Customers!A:C, 3, FALSE), 0)</f>
        <v>25</v>
      </c>
      <c r="Q296">
        <f t="shared" si="4"/>
        <v>0.47004405286343615</v>
      </c>
    </row>
    <row r="297" spans="1:17" x14ac:dyDescent="0.3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  <c r="L297" t="str">
        <f>VLOOKUP(D297, Products!A:C, 3, FALSE)</f>
        <v>Sports</v>
      </c>
      <c r="M297" t="str">
        <f>IFERROR(VLOOKUP(C297, Customers!A:E, 5, FALSE), "Unknown")</f>
        <v>Retail</v>
      </c>
      <c r="N297" t="str">
        <f>VLOOKUP(E297, Sales_Reps!A:C, 3, FALSE)</f>
        <v>West</v>
      </c>
      <c r="O297">
        <f>VLOOKUP(D297, Products!A:D, 4, FALSE)</f>
        <v>1860</v>
      </c>
      <c r="P297">
        <f>IFERROR(VLOOKUP(C297, Customers!A:C, 3, FALSE), 0)</f>
        <v>53</v>
      </c>
      <c r="Q297">
        <f t="shared" si="4"/>
        <v>0.50793650793650791</v>
      </c>
    </row>
    <row r="298" spans="1:17" x14ac:dyDescent="0.3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  <c r="L298" t="str">
        <f>VLOOKUP(D298, Products!A:C, 3, FALSE)</f>
        <v>Apparel</v>
      </c>
      <c r="M298" t="str">
        <f>IFERROR(VLOOKUP(C298, Customers!A:E, 5, FALSE), "Unknown")</f>
        <v>SMB</v>
      </c>
      <c r="N298" t="str">
        <f>VLOOKUP(E298, Sales_Reps!A:C, 3, FALSE)</f>
        <v>South</v>
      </c>
      <c r="O298">
        <f>VLOOKUP(D298, Products!A:D, 4, FALSE)</f>
        <v>2611</v>
      </c>
      <c r="P298">
        <f>IFERROR(VLOOKUP(C298, Customers!A:C, 3, FALSE), 0)</f>
        <v>65</v>
      </c>
      <c r="Q298">
        <f t="shared" si="4"/>
        <v>0.28269230769230769</v>
      </c>
    </row>
    <row r="299" spans="1:17" x14ac:dyDescent="0.3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  <c r="L299" t="str">
        <f>VLOOKUP(D299, Products!A:C, 3, FALSE)</f>
        <v>Electronics</v>
      </c>
      <c r="M299" t="str">
        <f>IFERROR(VLOOKUP(C299, Customers!A:E, 5, FALSE), "Unknown")</f>
        <v>Retail</v>
      </c>
      <c r="N299" t="str">
        <f>VLOOKUP(E299, Sales_Reps!A:C, 3, FALSE)</f>
        <v>South</v>
      </c>
      <c r="O299">
        <f>VLOOKUP(D299, Products!A:D, 4, FALSE)</f>
        <v>517</v>
      </c>
      <c r="P299">
        <f>IFERROR(VLOOKUP(C299, Customers!A:C, 3, FALSE), 0)</f>
        <v>31</v>
      </c>
      <c r="Q299">
        <f t="shared" si="4"/>
        <v>0.57622950819672136</v>
      </c>
    </row>
    <row r="300" spans="1:17" x14ac:dyDescent="0.3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  <c r="L300" t="str">
        <f>VLOOKUP(D300, Products!A:C, 3, FALSE)</f>
        <v>Apparel</v>
      </c>
      <c r="M300" t="str">
        <f>IFERROR(VLOOKUP(C300, Customers!A:E, 5, FALSE), "Unknown")</f>
        <v>Retail</v>
      </c>
      <c r="N300" t="str">
        <f>VLOOKUP(E300, Sales_Reps!A:C, 3, FALSE)</f>
        <v>West</v>
      </c>
      <c r="O300">
        <f>VLOOKUP(D300, Products!A:D, 4, FALSE)</f>
        <v>1075</v>
      </c>
      <c r="P300">
        <f>IFERROR(VLOOKUP(C300, Customers!A:C, 3, FALSE), 0)</f>
        <v>40</v>
      </c>
      <c r="Q300">
        <f t="shared" si="4"/>
        <v>0.57171314741035861</v>
      </c>
    </row>
    <row r="301" spans="1:17" x14ac:dyDescent="0.3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  <c r="L301" t="str">
        <f>VLOOKUP(D301, Products!A:C, 3, FALSE)</f>
        <v>Home</v>
      </c>
      <c r="M301" t="str">
        <f>IFERROR(VLOOKUP(C301, Customers!A:E, 5, FALSE), "Unknown")</f>
        <v>SMB</v>
      </c>
      <c r="N301" t="str">
        <f>VLOOKUP(E301, Sales_Reps!A:C, 3, FALSE)</f>
        <v>North</v>
      </c>
      <c r="O301">
        <f>VLOOKUP(D301, Products!A:D, 4, FALSE)</f>
        <v>519</v>
      </c>
      <c r="P301">
        <f>IFERROR(VLOOKUP(C301, Customers!A:C, 3, FALSE), 0)</f>
        <v>61</v>
      </c>
      <c r="Q301">
        <f t="shared" si="4"/>
        <v>0.51944444444444449</v>
      </c>
    </row>
    <row r="302" spans="1:17" x14ac:dyDescent="0.3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  <c r="L302" t="str">
        <f>VLOOKUP(D302, Products!A:C, 3, FALSE)</f>
        <v>Home</v>
      </c>
      <c r="M302" t="str">
        <f>IFERROR(VLOOKUP(C302, Customers!A:E, 5, FALSE), "Unknown")</f>
        <v>Retail</v>
      </c>
      <c r="N302" t="str">
        <f>VLOOKUP(E302, Sales_Reps!A:C, 3, FALSE)</f>
        <v>South</v>
      </c>
      <c r="O302">
        <f>VLOOKUP(D302, Products!A:D, 4, FALSE)</f>
        <v>1143</v>
      </c>
      <c r="P302">
        <f>IFERROR(VLOOKUP(C302, Customers!A:C, 3, FALSE), 0)</f>
        <v>35</v>
      </c>
      <c r="Q302">
        <f t="shared" si="4"/>
        <v>0.43694581280788175</v>
      </c>
    </row>
    <row r="303" spans="1:17" x14ac:dyDescent="0.3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  <c r="L303" t="str">
        <f>VLOOKUP(D303, Products!A:C, 3, FALSE)</f>
        <v>Sports</v>
      </c>
      <c r="M303" t="str">
        <f>IFERROR(VLOOKUP(C303, Customers!A:E, 5, FALSE), "Unknown")</f>
        <v>Retail</v>
      </c>
      <c r="N303" t="str">
        <f>VLOOKUP(E303, Sales_Reps!A:C, 3, FALSE)</f>
        <v>East</v>
      </c>
      <c r="O303">
        <f>VLOOKUP(D303, Products!A:D, 4, FALSE)</f>
        <v>1860</v>
      </c>
      <c r="P303">
        <f>IFERROR(VLOOKUP(C303, Customers!A:C, 3, FALSE), 0)</f>
        <v>34</v>
      </c>
      <c r="Q303">
        <f t="shared" si="4"/>
        <v>0.50793650793650791</v>
      </c>
    </row>
    <row r="304" spans="1:17" x14ac:dyDescent="0.3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  <c r="L304" t="str">
        <f>VLOOKUP(D304, Products!A:C, 3, FALSE)</f>
        <v>Apparel</v>
      </c>
      <c r="M304" t="str">
        <f>IFERROR(VLOOKUP(C304, Customers!A:E, 5, FALSE), "Unknown")</f>
        <v>SMB</v>
      </c>
      <c r="N304" t="str">
        <f>VLOOKUP(E304, Sales_Reps!A:C, 3, FALSE)</f>
        <v>South</v>
      </c>
      <c r="O304">
        <f>VLOOKUP(D304, Products!A:D, 4, FALSE)</f>
        <v>1886</v>
      </c>
      <c r="P304">
        <f>IFERROR(VLOOKUP(C304, Customers!A:C, 3, FALSE), 0)</f>
        <v>35</v>
      </c>
      <c r="Q304">
        <f t="shared" si="4"/>
        <v>0.4031645569620253</v>
      </c>
    </row>
    <row r="305" spans="1:17" x14ac:dyDescent="0.3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  <c r="L305" t="str">
        <f>VLOOKUP(D305, Products!A:C, 3, FALSE)</f>
        <v>Beauty</v>
      </c>
      <c r="M305" t="str">
        <f>IFERROR(VLOOKUP(C305, Customers!A:E, 5, FALSE), "Unknown")</f>
        <v>SMB</v>
      </c>
      <c r="N305" t="str">
        <f>VLOOKUP(E305, Sales_Reps!A:C, 3, FALSE)</f>
        <v>South</v>
      </c>
      <c r="O305">
        <f>VLOOKUP(D305, Products!A:D, 4, FALSE)</f>
        <v>2768</v>
      </c>
      <c r="P305">
        <f>IFERROR(VLOOKUP(C305, Customers!A:C, 3, FALSE), 0)</f>
        <v>43</v>
      </c>
      <c r="Q305">
        <f t="shared" si="4"/>
        <v>0.43278688524590164</v>
      </c>
    </row>
    <row r="306" spans="1:17" x14ac:dyDescent="0.3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  <c r="L306" t="str">
        <f>VLOOKUP(D306, Products!A:C, 3, FALSE)</f>
        <v>Home</v>
      </c>
      <c r="M306" t="str">
        <f>IFERROR(VLOOKUP(C306, Customers!A:E, 5, FALSE), "Unknown")</f>
        <v>Retail</v>
      </c>
      <c r="N306" t="str">
        <f>VLOOKUP(E306, Sales_Reps!A:C, 3, FALSE)</f>
        <v>South</v>
      </c>
      <c r="O306">
        <f>VLOOKUP(D306, Products!A:D, 4, FALSE)</f>
        <v>2135</v>
      </c>
      <c r="P306">
        <f>IFERROR(VLOOKUP(C306, Customers!A:C, 3, FALSE), 0)</f>
        <v>43</v>
      </c>
      <c r="Q306">
        <f t="shared" si="4"/>
        <v>0.42761394101876676</v>
      </c>
    </row>
    <row r="307" spans="1:17" x14ac:dyDescent="0.3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  <c r="L307" t="str">
        <f>VLOOKUP(D307, Products!A:C, 3, FALSE)</f>
        <v>Home</v>
      </c>
      <c r="M307" t="str">
        <f>IFERROR(VLOOKUP(C307, Customers!A:E, 5, FALSE), "Unknown")</f>
        <v>Retail</v>
      </c>
      <c r="N307" t="str">
        <f>VLOOKUP(E307, Sales_Reps!A:C, 3, FALSE)</f>
        <v>North</v>
      </c>
      <c r="O307">
        <f>VLOOKUP(D307, Products!A:D, 4, FALSE)</f>
        <v>2459</v>
      </c>
      <c r="P307">
        <f>IFERROR(VLOOKUP(C307, Customers!A:C, 3, FALSE), 0)</f>
        <v>26</v>
      </c>
      <c r="Q307">
        <f t="shared" si="4"/>
        <v>0.51594488188976373</v>
      </c>
    </row>
    <row r="308" spans="1:17" x14ac:dyDescent="0.3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  <c r="L308" t="str">
        <f>VLOOKUP(D308, Products!A:C, 3, FALSE)</f>
        <v>Beauty</v>
      </c>
      <c r="M308" t="str">
        <f>IFERROR(VLOOKUP(C308, Customers!A:E, 5, FALSE), "Unknown")</f>
        <v>Retail</v>
      </c>
      <c r="N308" t="str">
        <f>VLOOKUP(E308, Sales_Reps!A:C, 3, FALSE)</f>
        <v>South</v>
      </c>
      <c r="O308">
        <f>VLOOKUP(D308, Products!A:D, 4, FALSE)</f>
        <v>1219</v>
      </c>
      <c r="P308">
        <f>IFERROR(VLOOKUP(C308, Customers!A:C, 3, FALSE), 0)</f>
        <v>54</v>
      </c>
      <c r="Q308">
        <f t="shared" si="4"/>
        <v>0.46768558951965067</v>
      </c>
    </row>
    <row r="309" spans="1:17" x14ac:dyDescent="0.3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  <c r="L309" t="str">
        <f>VLOOKUP(D309, Products!A:C, 3, FALSE)</f>
        <v>Electronics</v>
      </c>
      <c r="M309" t="str">
        <f>IFERROR(VLOOKUP(C309, Customers!A:E, 5, FALSE), "Unknown")</f>
        <v>SMB</v>
      </c>
      <c r="N309" t="str">
        <f>VLOOKUP(E309, Sales_Reps!A:C, 3, FALSE)</f>
        <v>South</v>
      </c>
      <c r="O309">
        <f>VLOOKUP(D309, Products!A:D, 4, FALSE)</f>
        <v>1259</v>
      </c>
      <c r="P309">
        <f>IFERROR(VLOOKUP(C309, Customers!A:C, 3, FALSE), 0)</f>
        <v>29</v>
      </c>
      <c r="Q309">
        <f t="shared" si="4"/>
        <v>0.52669172932330832</v>
      </c>
    </row>
    <row r="310" spans="1:17" x14ac:dyDescent="0.3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  <c r="L310" t="str">
        <f>VLOOKUP(D310, Products!A:C, 3, FALSE)</f>
        <v>Grocery</v>
      </c>
      <c r="M310" t="str">
        <f>IFERROR(VLOOKUP(C310, Customers!A:E, 5, FALSE), "Unknown")</f>
        <v>Retail</v>
      </c>
      <c r="N310" t="str">
        <f>VLOOKUP(E310, Sales_Reps!A:C, 3, FALSE)</f>
        <v>West</v>
      </c>
      <c r="O310">
        <f>VLOOKUP(D310, Products!A:D, 4, FALSE)</f>
        <v>2436</v>
      </c>
      <c r="P310">
        <f>IFERROR(VLOOKUP(C310, Customers!A:C, 3, FALSE), 0)</f>
        <v>41</v>
      </c>
      <c r="Q310">
        <f t="shared" si="4"/>
        <v>0.35555555555555557</v>
      </c>
    </row>
    <row r="311" spans="1:17" x14ac:dyDescent="0.3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  <c r="L311" t="str">
        <f>VLOOKUP(D311, Products!A:C, 3, FALSE)</f>
        <v>Grocery</v>
      </c>
      <c r="M311" t="str">
        <f>IFERROR(VLOOKUP(C311, Customers!A:E, 5, FALSE), "Unknown")</f>
        <v>Retail</v>
      </c>
      <c r="N311" t="str">
        <f>VLOOKUP(E311, Sales_Reps!A:C, 3, FALSE)</f>
        <v>West</v>
      </c>
      <c r="O311">
        <f>VLOOKUP(D311, Products!A:D, 4, FALSE)</f>
        <v>1435</v>
      </c>
      <c r="P311">
        <f>IFERROR(VLOOKUP(C311, Customers!A:C, 3, FALSE), 0)</f>
        <v>35</v>
      </c>
      <c r="Q311">
        <f t="shared" si="4"/>
        <v>0.48007246376811596</v>
      </c>
    </row>
    <row r="312" spans="1:17" x14ac:dyDescent="0.3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  <c r="L312" t="str">
        <f>VLOOKUP(D312, Products!A:C, 3, FALSE)</f>
        <v>Beauty</v>
      </c>
      <c r="M312" t="str">
        <f>IFERROR(VLOOKUP(C312, Customers!A:E, 5, FALSE), "Unknown")</f>
        <v>SMB</v>
      </c>
      <c r="N312" t="str">
        <f>VLOOKUP(E312, Sales_Reps!A:C, 3, FALSE)</f>
        <v>North</v>
      </c>
      <c r="O312">
        <f>VLOOKUP(D312, Products!A:D, 4, FALSE)</f>
        <v>647</v>
      </c>
      <c r="P312">
        <f>IFERROR(VLOOKUP(C312, Customers!A:C, 3, FALSE), 0)</f>
        <v>65</v>
      </c>
      <c r="Q312">
        <f t="shared" si="4"/>
        <v>0.57987012987012987</v>
      </c>
    </row>
    <row r="313" spans="1:17" x14ac:dyDescent="0.3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  <c r="L313" t="str">
        <f>VLOOKUP(D313, Products!A:C, 3, FALSE)</f>
        <v>Beauty</v>
      </c>
      <c r="M313" t="str">
        <f>IFERROR(VLOOKUP(C313, Customers!A:E, 5, FALSE), "Unknown")</f>
        <v>Retail</v>
      </c>
      <c r="N313" t="str">
        <f>VLOOKUP(E313, Sales_Reps!A:C, 3, FALSE)</f>
        <v>East</v>
      </c>
      <c r="O313">
        <f>VLOOKUP(D313, Products!A:D, 4, FALSE)</f>
        <v>2768</v>
      </c>
      <c r="P313">
        <f>IFERROR(VLOOKUP(C313, Customers!A:C, 3, FALSE), 0)</f>
        <v>28</v>
      </c>
      <c r="Q313">
        <f t="shared" si="4"/>
        <v>0.43278688524590164</v>
      </c>
    </row>
    <row r="314" spans="1:17" x14ac:dyDescent="0.3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  <c r="L314" t="str">
        <f>VLOOKUP(D314, Products!A:C, 3, FALSE)</f>
        <v>Grocery</v>
      </c>
      <c r="M314" t="str">
        <f>IFERROR(VLOOKUP(C314, Customers!A:E, 5, FALSE), "Unknown")</f>
        <v>Corporate</v>
      </c>
      <c r="N314" t="str">
        <f>VLOOKUP(E314, Sales_Reps!A:C, 3, FALSE)</f>
        <v>South</v>
      </c>
      <c r="O314">
        <f>VLOOKUP(D314, Products!A:D, 4, FALSE)</f>
        <v>1203</v>
      </c>
      <c r="P314">
        <f>IFERROR(VLOOKUP(C314, Customers!A:C, 3, FALSE), 0)</f>
        <v>52</v>
      </c>
      <c r="Q314">
        <f t="shared" si="4"/>
        <v>0.47004405286343615</v>
      </c>
    </row>
    <row r="315" spans="1:17" x14ac:dyDescent="0.3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  <c r="L315" t="str">
        <f>VLOOKUP(D315, Products!A:C, 3, FALSE)</f>
        <v>Apparel</v>
      </c>
      <c r="M315" t="str">
        <f>IFERROR(VLOOKUP(C315, Customers!A:E, 5, FALSE), "Unknown")</f>
        <v>Retail</v>
      </c>
      <c r="N315" t="str">
        <f>VLOOKUP(E315, Sales_Reps!A:C, 3, FALSE)</f>
        <v>South</v>
      </c>
      <c r="O315">
        <f>VLOOKUP(D315, Products!A:D, 4, FALSE)</f>
        <v>1173</v>
      </c>
      <c r="P315">
        <f>IFERROR(VLOOKUP(C315, Customers!A:C, 3, FALSE), 0)</f>
        <v>53</v>
      </c>
      <c r="Q315">
        <f t="shared" si="4"/>
        <v>0.52701612903225803</v>
      </c>
    </row>
    <row r="316" spans="1:17" x14ac:dyDescent="0.3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  <c r="L316" t="str">
        <f>VLOOKUP(D316, Products!A:C, 3, FALSE)</f>
        <v>Beauty</v>
      </c>
      <c r="M316" t="str">
        <f>IFERROR(VLOOKUP(C316, Customers!A:E, 5, FALSE), "Unknown")</f>
        <v>Retail</v>
      </c>
      <c r="N316" t="str">
        <f>VLOOKUP(E316, Sales_Reps!A:C, 3, FALSE)</f>
        <v>South</v>
      </c>
      <c r="O316">
        <f>VLOOKUP(D316, Products!A:D, 4, FALSE)</f>
        <v>1626</v>
      </c>
      <c r="P316">
        <f>IFERROR(VLOOKUP(C316, Customers!A:C, 3, FALSE), 0)</f>
        <v>60</v>
      </c>
      <c r="Q316">
        <f t="shared" si="4"/>
        <v>0.46158940397350995</v>
      </c>
    </row>
    <row r="317" spans="1:17" x14ac:dyDescent="0.3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  <c r="L317" t="str">
        <f>VLOOKUP(D317, Products!A:C, 3, FALSE)</f>
        <v>Beauty</v>
      </c>
      <c r="M317" t="str">
        <f>IFERROR(VLOOKUP(C317, Customers!A:E, 5, FALSE), "Unknown")</f>
        <v>Retail</v>
      </c>
      <c r="N317" t="str">
        <f>VLOOKUP(E317, Sales_Reps!A:C, 3, FALSE)</f>
        <v>East</v>
      </c>
      <c r="O317">
        <f>VLOOKUP(D317, Products!A:D, 4, FALSE)</f>
        <v>647</v>
      </c>
      <c r="P317">
        <f>IFERROR(VLOOKUP(C317, Customers!A:C, 3, FALSE), 0)</f>
        <v>28</v>
      </c>
      <c r="Q317">
        <f t="shared" si="4"/>
        <v>0.57987012987012987</v>
      </c>
    </row>
    <row r="318" spans="1:17" x14ac:dyDescent="0.3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  <c r="L318" t="str">
        <f>VLOOKUP(D318, Products!A:C, 3, FALSE)</f>
        <v>Apparel</v>
      </c>
      <c r="M318" t="str">
        <f>IFERROR(VLOOKUP(C318, Customers!A:E, 5, FALSE), "Unknown")</f>
        <v>Retail</v>
      </c>
      <c r="N318" t="str">
        <f>VLOOKUP(E318, Sales_Reps!A:C, 3, FALSE)</f>
        <v>North</v>
      </c>
      <c r="O318">
        <f>VLOOKUP(D318, Products!A:D, 4, FALSE)</f>
        <v>1886</v>
      </c>
      <c r="P318">
        <f>IFERROR(VLOOKUP(C318, Customers!A:C, 3, FALSE), 0)</f>
        <v>59</v>
      </c>
      <c r="Q318">
        <f t="shared" si="4"/>
        <v>0.4031645569620253</v>
      </c>
    </row>
    <row r="319" spans="1:17" x14ac:dyDescent="0.3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  <c r="L319" t="str">
        <f>VLOOKUP(D319, Products!A:C, 3, FALSE)</f>
        <v>Sports</v>
      </c>
      <c r="M319" t="str">
        <f>IFERROR(VLOOKUP(C319, Customers!A:E, 5, FALSE), "Unknown")</f>
        <v>Retail</v>
      </c>
      <c r="N319" t="str">
        <f>VLOOKUP(E319, Sales_Reps!A:C, 3, FALSE)</f>
        <v>South</v>
      </c>
      <c r="O319">
        <f>VLOOKUP(D319, Products!A:D, 4, FALSE)</f>
        <v>516</v>
      </c>
      <c r="P319">
        <f>IFERROR(VLOOKUP(C319, Customers!A:C, 3, FALSE), 0)</f>
        <v>41</v>
      </c>
      <c r="Q319">
        <f t="shared" si="4"/>
        <v>0.4891089108910891</v>
      </c>
    </row>
    <row r="320" spans="1:17" x14ac:dyDescent="0.3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  <c r="L320" t="str">
        <f>VLOOKUP(D320, Products!A:C, 3, FALSE)</f>
        <v>Home</v>
      </c>
      <c r="M320" t="str">
        <f>IFERROR(VLOOKUP(C320, Customers!A:E, 5, FALSE), "Unknown")</f>
        <v>Retail</v>
      </c>
      <c r="N320" t="str">
        <f>VLOOKUP(E320, Sales_Reps!A:C, 3, FALSE)</f>
        <v>East</v>
      </c>
      <c r="O320">
        <f>VLOOKUP(D320, Products!A:D, 4, FALSE)</f>
        <v>1850</v>
      </c>
      <c r="P320">
        <f>IFERROR(VLOOKUP(C320, Customers!A:C, 3, FALSE), 0)</f>
        <v>65</v>
      </c>
      <c r="Q320">
        <f t="shared" si="4"/>
        <v>0.59869848156182215</v>
      </c>
    </row>
    <row r="321" spans="1:17" x14ac:dyDescent="0.3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  <c r="L321" t="str">
        <f>VLOOKUP(D321, Products!A:C, 3, FALSE)</f>
        <v>Grocery</v>
      </c>
      <c r="M321" t="str">
        <f>IFERROR(VLOOKUP(C321, Customers!A:E, 5, FALSE), "Unknown")</f>
        <v>Retail</v>
      </c>
      <c r="N321" t="str">
        <f>VLOOKUP(E321, Sales_Reps!A:C, 3, FALSE)</f>
        <v>West</v>
      </c>
      <c r="O321">
        <f>VLOOKUP(D321, Products!A:D, 4, FALSE)</f>
        <v>2911</v>
      </c>
      <c r="P321">
        <f>IFERROR(VLOOKUP(C321, Customers!A:C, 3, FALSE), 0)</f>
        <v>53</v>
      </c>
      <c r="Q321">
        <f t="shared" si="4"/>
        <v>0.28300492610837441</v>
      </c>
    </row>
    <row r="322" spans="1:17" x14ac:dyDescent="0.3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  <c r="L322" t="str">
        <f>VLOOKUP(D322, Products!A:C, 3, FALSE)</f>
        <v>Apparel</v>
      </c>
      <c r="M322" t="str">
        <f>IFERROR(VLOOKUP(C322, Customers!A:E, 5, FALSE), "Unknown")</f>
        <v>SMB</v>
      </c>
      <c r="N322" t="str">
        <f>VLOOKUP(E322, Sales_Reps!A:C, 3, FALSE)</f>
        <v>North</v>
      </c>
      <c r="O322">
        <f>VLOOKUP(D322, Products!A:D, 4, FALSE)</f>
        <v>396</v>
      </c>
      <c r="P322">
        <f>IFERROR(VLOOKUP(C322, Customers!A:C, 3, FALSE), 0)</f>
        <v>46</v>
      </c>
      <c r="Q322">
        <f t="shared" si="4"/>
        <v>0.36129032258064514</v>
      </c>
    </row>
    <row r="323" spans="1:17" x14ac:dyDescent="0.3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  <c r="L323" t="str">
        <f>VLOOKUP(D323, Products!A:C, 3, FALSE)</f>
        <v>Apparel</v>
      </c>
      <c r="M323" t="str">
        <f>IFERROR(VLOOKUP(C323, Customers!A:E, 5, FALSE), "Unknown")</f>
        <v>Corporate</v>
      </c>
      <c r="N323" t="str">
        <f>VLOOKUP(E323, Sales_Reps!A:C, 3, FALSE)</f>
        <v>North</v>
      </c>
      <c r="O323">
        <f>VLOOKUP(D323, Products!A:D, 4, FALSE)</f>
        <v>2629</v>
      </c>
      <c r="P323">
        <f>IFERROR(VLOOKUP(C323, Customers!A:C, 3, FALSE), 0)</f>
        <v>43</v>
      </c>
      <c r="Q323">
        <f t="shared" ref="Q323:Q386" si="5">(G323 - O323) / G323</f>
        <v>0.26151685393258428</v>
      </c>
    </row>
    <row r="324" spans="1:17" x14ac:dyDescent="0.3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  <c r="L324" t="str">
        <f>VLOOKUP(D324, Products!A:C, 3, FALSE)</f>
        <v>Sports</v>
      </c>
      <c r="M324" t="str">
        <f>IFERROR(VLOOKUP(C324, Customers!A:E, 5, FALSE), "Unknown")</f>
        <v>Corporate</v>
      </c>
      <c r="N324" t="str">
        <f>VLOOKUP(E324, Sales_Reps!A:C, 3, FALSE)</f>
        <v>South</v>
      </c>
      <c r="O324">
        <f>VLOOKUP(D324, Products!A:D, 4, FALSE)</f>
        <v>974</v>
      </c>
      <c r="P324">
        <f>IFERROR(VLOOKUP(C324, Customers!A:C, 3, FALSE), 0)</f>
        <v>52</v>
      </c>
      <c r="Q324">
        <f t="shared" si="5"/>
        <v>0.59416666666666662</v>
      </c>
    </row>
    <row r="325" spans="1:17" x14ac:dyDescent="0.3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  <c r="L325" t="str">
        <f>VLOOKUP(D325, Products!A:C, 3, FALSE)</f>
        <v>Sports</v>
      </c>
      <c r="M325" t="str">
        <f>IFERROR(VLOOKUP(C325, Customers!A:E, 5, FALSE), "Unknown")</f>
        <v>Retail</v>
      </c>
      <c r="N325" t="str">
        <f>VLOOKUP(E325, Sales_Reps!A:C, 3, FALSE)</f>
        <v>North</v>
      </c>
      <c r="O325">
        <f>VLOOKUP(D325, Products!A:D, 4, FALSE)</f>
        <v>2827</v>
      </c>
      <c r="P325">
        <f>IFERROR(VLOOKUP(C325, Customers!A:C, 3, FALSE), 0)</f>
        <v>53</v>
      </c>
      <c r="Q325">
        <f t="shared" si="5"/>
        <v>0.5926512968299712</v>
      </c>
    </row>
    <row r="326" spans="1:17" x14ac:dyDescent="0.3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  <c r="L326" t="str">
        <f>VLOOKUP(D326, Products!A:C, 3, FALSE)</f>
        <v>Grocery</v>
      </c>
      <c r="M326" t="str">
        <f>IFERROR(VLOOKUP(C326, Customers!A:E, 5, FALSE), "Unknown")</f>
        <v>Retail</v>
      </c>
      <c r="N326" t="str">
        <f>VLOOKUP(E326, Sales_Reps!A:C, 3, FALSE)</f>
        <v>West</v>
      </c>
      <c r="O326">
        <f>VLOOKUP(D326, Products!A:D, 4, FALSE)</f>
        <v>1182</v>
      </c>
      <c r="P326">
        <f>IFERROR(VLOOKUP(C326, Customers!A:C, 3, FALSE), 0)</f>
        <v>33</v>
      </c>
      <c r="Q326">
        <f t="shared" si="5"/>
        <v>0.50336134453781511</v>
      </c>
    </row>
    <row r="327" spans="1:17" x14ac:dyDescent="0.3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  <c r="L327" t="str">
        <f>VLOOKUP(D327, Products!A:C, 3, FALSE)</f>
        <v>Apparel</v>
      </c>
      <c r="M327" t="str">
        <f>IFERROR(VLOOKUP(C327, Customers!A:E, 5, FALSE), "Unknown")</f>
        <v>Corporate</v>
      </c>
      <c r="N327" t="str">
        <f>VLOOKUP(E327, Sales_Reps!A:C, 3, FALSE)</f>
        <v>West</v>
      </c>
      <c r="O327">
        <f>VLOOKUP(D327, Products!A:D, 4, FALSE)</f>
        <v>2509</v>
      </c>
      <c r="P327">
        <f>IFERROR(VLOOKUP(C327, Customers!A:C, 3, FALSE), 0)</f>
        <v>55</v>
      </c>
      <c r="Q327">
        <f t="shared" si="5"/>
        <v>0.3069060773480663</v>
      </c>
    </row>
    <row r="328" spans="1:17" x14ac:dyDescent="0.3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  <c r="L328" t="str">
        <f>VLOOKUP(D328, Products!A:C, 3, FALSE)</f>
        <v>Beauty</v>
      </c>
      <c r="M328" t="str">
        <f>IFERROR(VLOOKUP(C328, Customers!A:E, 5, FALSE), "Unknown")</f>
        <v>Corporate</v>
      </c>
      <c r="N328" t="str">
        <f>VLOOKUP(E328, Sales_Reps!A:C, 3, FALSE)</f>
        <v>North</v>
      </c>
      <c r="O328">
        <f>VLOOKUP(D328, Products!A:D, 4, FALSE)</f>
        <v>2617</v>
      </c>
      <c r="P328">
        <f>IFERROR(VLOOKUP(C328, Customers!A:C, 3, FALSE), 0)</f>
        <v>43</v>
      </c>
      <c r="Q328">
        <f t="shared" si="5"/>
        <v>0.56957236842105263</v>
      </c>
    </row>
    <row r="329" spans="1:17" x14ac:dyDescent="0.3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  <c r="L329" t="str">
        <f>VLOOKUP(D329, Products!A:C, 3, FALSE)</f>
        <v>Apparel</v>
      </c>
      <c r="M329" t="str">
        <f>IFERROR(VLOOKUP(C329, Customers!A:E, 5, FALSE), "Unknown")</f>
        <v>Retail</v>
      </c>
      <c r="N329" t="str">
        <f>VLOOKUP(E329, Sales_Reps!A:C, 3, FALSE)</f>
        <v>East</v>
      </c>
      <c r="O329">
        <f>VLOOKUP(D329, Products!A:D, 4, FALSE)</f>
        <v>391</v>
      </c>
      <c r="P329">
        <f>IFERROR(VLOOKUP(C329, Customers!A:C, 3, FALSE), 0)</f>
        <v>26</v>
      </c>
      <c r="Q329">
        <f t="shared" si="5"/>
        <v>0.52317073170731709</v>
      </c>
    </row>
    <row r="330" spans="1:17" x14ac:dyDescent="0.3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  <c r="L330" t="str">
        <f>VLOOKUP(D330, Products!A:C, 3, FALSE)</f>
        <v>Beauty</v>
      </c>
      <c r="M330" t="str">
        <f>IFERROR(VLOOKUP(C330, Customers!A:E, 5, FALSE), "Unknown")</f>
        <v>Corporate</v>
      </c>
      <c r="N330" t="str">
        <f>VLOOKUP(E330, Sales_Reps!A:C, 3, FALSE)</f>
        <v>West</v>
      </c>
      <c r="O330">
        <f>VLOOKUP(D330, Products!A:D, 4, FALSE)</f>
        <v>1626</v>
      </c>
      <c r="P330">
        <f>IFERROR(VLOOKUP(C330, Customers!A:C, 3, FALSE), 0)</f>
        <v>51</v>
      </c>
      <c r="Q330">
        <f t="shared" si="5"/>
        <v>0.46158940397350995</v>
      </c>
    </row>
    <row r="331" spans="1:17" x14ac:dyDescent="0.3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  <c r="L331" t="str">
        <f>VLOOKUP(D331, Products!A:C, 3, FALSE)</f>
        <v>Electronics</v>
      </c>
      <c r="M331" t="str">
        <f>IFERROR(VLOOKUP(C331, Customers!A:E, 5, FALSE), "Unknown")</f>
        <v>Retail</v>
      </c>
      <c r="N331" t="str">
        <f>VLOOKUP(E331, Sales_Reps!A:C, 3, FALSE)</f>
        <v>West</v>
      </c>
      <c r="O331">
        <f>VLOOKUP(D331, Products!A:D, 4, FALSE)</f>
        <v>1559</v>
      </c>
      <c r="P331">
        <f>IFERROR(VLOOKUP(C331, Customers!A:C, 3, FALSE), 0)</f>
        <v>24</v>
      </c>
      <c r="Q331">
        <f t="shared" si="5"/>
        <v>0.59715762273901807</v>
      </c>
    </row>
    <row r="332" spans="1:17" x14ac:dyDescent="0.3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  <c r="L332" t="str">
        <f>VLOOKUP(D332, Products!A:C, 3, FALSE)</f>
        <v>Beauty</v>
      </c>
      <c r="M332" t="str">
        <f>IFERROR(VLOOKUP(C332, Customers!A:E, 5, FALSE), "Unknown")</f>
        <v>SMB</v>
      </c>
      <c r="N332" t="str">
        <f>VLOOKUP(E332, Sales_Reps!A:C, 3, FALSE)</f>
        <v>West</v>
      </c>
      <c r="O332">
        <f>VLOOKUP(D332, Products!A:D, 4, FALSE)</f>
        <v>2420</v>
      </c>
      <c r="P332">
        <f>IFERROR(VLOOKUP(C332, Customers!A:C, 3, FALSE), 0)</f>
        <v>30</v>
      </c>
      <c r="Q332">
        <f t="shared" si="5"/>
        <v>0.29855072463768118</v>
      </c>
    </row>
    <row r="333" spans="1:17" x14ac:dyDescent="0.3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  <c r="L333" t="str">
        <f>VLOOKUP(D333, Products!A:C, 3, FALSE)</f>
        <v>Beauty</v>
      </c>
      <c r="M333" t="str">
        <f>IFERROR(VLOOKUP(C333, Customers!A:E, 5, FALSE), "Unknown")</f>
        <v>Retail</v>
      </c>
      <c r="N333" t="str">
        <f>VLOOKUP(E333, Sales_Reps!A:C, 3, FALSE)</f>
        <v>North</v>
      </c>
      <c r="O333">
        <f>VLOOKUP(D333, Products!A:D, 4, FALSE)</f>
        <v>2237</v>
      </c>
      <c r="P333">
        <f>IFERROR(VLOOKUP(C333, Customers!A:C, 3, FALSE), 0)</f>
        <v>24</v>
      </c>
      <c r="Q333">
        <f t="shared" si="5"/>
        <v>0.56137254901960787</v>
      </c>
    </row>
    <row r="334" spans="1:17" x14ac:dyDescent="0.3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  <c r="L334" t="str">
        <f>VLOOKUP(D334, Products!A:C, 3, FALSE)</f>
        <v>Grocery</v>
      </c>
      <c r="M334" t="str">
        <f>IFERROR(VLOOKUP(C334, Customers!A:E, 5, FALSE), "Unknown")</f>
        <v>SMB</v>
      </c>
      <c r="N334" t="str">
        <f>VLOOKUP(E334, Sales_Reps!A:C, 3, FALSE)</f>
        <v>North</v>
      </c>
      <c r="O334">
        <f>VLOOKUP(D334, Products!A:D, 4, FALSE)</f>
        <v>2027</v>
      </c>
      <c r="P334">
        <f>IFERROR(VLOOKUP(C334, Customers!A:C, 3, FALSE), 0)</f>
        <v>53</v>
      </c>
      <c r="Q334">
        <f t="shared" si="5"/>
        <v>0.50196560196560192</v>
      </c>
    </row>
    <row r="335" spans="1:17" x14ac:dyDescent="0.3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  <c r="L335" t="str">
        <f>VLOOKUP(D335, Products!A:C, 3, FALSE)</f>
        <v>Electronics</v>
      </c>
      <c r="M335" t="str">
        <f>IFERROR(VLOOKUP(C335, Customers!A:E, 5, FALSE), "Unknown")</f>
        <v>SMB</v>
      </c>
      <c r="N335" t="str">
        <f>VLOOKUP(E335, Sales_Reps!A:C, 3, FALSE)</f>
        <v>North</v>
      </c>
      <c r="O335">
        <f>VLOOKUP(D335, Products!A:D, 4, FALSE)</f>
        <v>2405</v>
      </c>
      <c r="P335">
        <f>IFERROR(VLOOKUP(C335, Customers!A:C, 3, FALSE), 0)</f>
        <v>35</v>
      </c>
      <c r="Q335">
        <f t="shared" si="5"/>
        <v>0.54878048780487809</v>
      </c>
    </row>
    <row r="336" spans="1:17" x14ac:dyDescent="0.3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  <c r="L336" t="str">
        <f>VLOOKUP(D336, Products!A:C, 3, FALSE)</f>
        <v>Grocery</v>
      </c>
      <c r="M336" t="str">
        <f>IFERROR(VLOOKUP(C336, Customers!A:E, 5, FALSE), "Unknown")</f>
        <v>Retail</v>
      </c>
      <c r="N336" t="str">
        <f>VLOOKUP(E336, Sales_Reps!A:C, 3, FALSE)</f>
        <v>East</v>
      </c>
      <c r="O336">
        <f>VLOOKUP(D336, Products!A:D, 4, FALSE)</f>
        <v>1203</v>
      </c>
      <c r="P336">
        <f>IFERROR(VLOOKUP(C336, Customers!A:C, 3, FALSE), 0)</f>
        <v>48</v>
      </c>
      <c r="Q336">
        <f t="shared" si="5"/>
        <v>0.47004405286343615</v>
      </c>
    </row>
    <row r="337" spans="1:17" x14ac:dyDescent="0.3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  <c r="L337" t="str">
        <f>VLOOKUP(D337, Products!A:C, 3, FALSE)</f>
        <v>Apparel</v>
      </c>
      <c r="M337" t="str">
        <f>IFERROR(VLOOKUP(C337, Customers!A:E, 5, FALSE), "Unknown")</f>
        <v>SMB</v>
      </c>
      <c r="N337" t="str">
        <f>VLOOKUP(E337, Sales_Reps!A:C, 3, FALSE)</f>
        <v>West</v>
      </c>
      <c r="O337">
        <f>VLOOKUP(D337, Products!A:D, 4, FALSE)</f>
        <v>1075</v>
      </c>
      <c r="P337">
        <f>IFERROR(VLOOKUP(C337, Customers!A:C, 3, FALSE), 0)</f>
        <v>39</v>
      </c>
      <c r="Q337">
        <f t="shared" si="5"/>
        <v>0.57171314741035861</v>
      </c>
    </row>
    <row r="338" spans="1:17" x14ac:dyDescent="0.3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  <c r="L338" t="str">
        <f>VLOOKUP(D338, Products!A:C, 3, FALSE)</f>
        <v>Grocery</v>
      </c>
      <c r="M338" t="str">
        <f>IFERROR(VLOOKUP(C338, Customers!A:E, 5, FALSE), "Unknown")</f>
        <v>Retail</v>
      </c>
      <c r="N338" t="str">
        <f>VLOOKUP(E338, Sales_Reps!A:C, 3, FALSE)</f>
        <v>East</v>
      </c>
      <c r="O338">
        <f>VLOOKUP(D338, Products!A:D, 4, FALSE)</f>
        <v>1182</v>
      </c>
      <c r="P338">
        <f>IFERROR(VLOOKUP(C338, Customers!A:C, 3, FALSE), 0)</f>
        <v>40</v>
      </c>
      <c r="Q338">
        <f t="shared" si="5"/>
        <v>0.50336134453781511</v>
      </c>
    </row>
    <row r="339" spans="1:17" x14ac:dyDescent="0.3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  <c r="L339" t="str">
        <f>VLOOKUP(D339, Products!A:C, 3, FALSE)</f>
        <v>Apparel</v>
      </c>
      <c r="M339" t="str">
        <f>IFERROR(VLOOKUP(C339, Customers!A:E, 5, FALSE), "Unknown")</f>
        <v>SMB</v>
      </c>
      <c r="N339" t="str">
        <f>VLOOKUP(E339, Sales_Reps!A:C, 3, FALSE)</f>
        <v>North</v>
      </c>
      <c r="O339">
        <f>VLOOKUP(D339, Products!A:D, 4, FALSE)</f>
        <v>1748</v>
      </c>
      <c r="P339">
        <f>IFERROR(VLOOKUP(C339, Customers!A:C, 3, FALSE), 0)</f>
        <v>26</v>
      </c>
      <c r="Q339">
        <f t="shared" si="5"/>
        <v>0.49333333333333335</v>
      </c>
    </row>
    <row r="340" spans="1:17" x14ac:dyDescent="0.3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  <c r="L340" t="str">
        <f>VLOOKUP(D340, Products!A:C, 3, FALSE)</f>
        <v>Electronics</v>
      </c>
      <c r="M340" t="str">
        <f>IFERROR(VLOOKUP(C340, Customers!A:E, 5, FALSE), "Unknown")</f>
        <v>Corporate</v>
      </c>
      <c r="N340" t="str">
        <f>VLOOKUP(E340, Sales_Reps!A:C, 3, FALSE)</f>
        <v>North</v>
      </c>
      <c r="O340">
        <f>VLOOKUP(D340, Products!A:D, 4, FALSE)</f>
        <v>1665</v>
      </c>
      <c r="P340">
        <f>IFERROR(VLOOKUP(C340, Customers!A:C, 3, FALSE), 0)</f>
        <v>57</v>
      </c>
      <c r="Q340">
        <f t="shared" si="5"/>
        <v>0.53361344537815125</v>
      </c>
    </row>
    <row r="341" spans="1:17" x14ac:dyDescent="0.3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  <c r="L341" t="str">
        <f>VLOOKUP(D341, Products!A:C, 3, FALSE)</f>
        <v>Electronics</v>
      </c>
      <c r="M341" t="str">
        <f>IFERROR(VLOOKUP(C341, Customers!A:E, 5, FALSE), "Unknown")</f>
        <v>Retail</v>
      </c>
      <c r="N341" t="str">
        <f>VLOOKUP(E341, Sales_Reps!A:C, 3, FALSE)</f>
        <v>West</v>
      </c>
      <c r="O341">
        <f>VLOOKUP(D341, Products!A:D, 4, FALSE)</f>
        <v>2405</v>
      </c>
      <c r="P341">
        <f>IFERROR(VLOOKUP(C341, Customers!A:C, 3, FALSE), 0)</f>
        <v>27</v>
      </c>
      <c r="Q341">
        <f t="shared" si="5"/>
        <v>0.54878048780487809</v>
      </c>
    </row>
    <row r="342" spans="1:17" x14ac:dyDescent="0.3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  <c r="L342" t="str">
        <f>VLOOKUP(D342, Products!A:C, 3, FALSE)</f>
        <v>Grocery</v>
      </c>
      <c r="M342" t="str">
        <f>IFERROR(VLOOKUP(C342, Customers!A:E, 5, FALSE), "Unknown")</f>
        <v>Retail</v>
      </c>
      <c r="N342" t="str">
        <f>VLOOKUP(E342, Sales_Reps!A:C, 3, FALSE)</f>
        <v>West</v>
      </c>
      <c r="O342">
        <f>VLOOKUP(D342, Products!A:D, 4, FALSE)</f>
        <v>2214</v>
      </c>
      <c r="P342">
        <f>IFERROR(VLOOKUP(C342, Customers!A:C, 3, FALSE), 0)</f>
        <v>56</v>
      </c>
      <c r="Q342">
        <f t="shared" si="5"/>
        <v>0.39508196721311473</v>
      </c>
    </row>
    <row r="343" spans="1:17" x14ac:dyDescent="0.3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  <c r="L343" t="str">
        <f>VLOOKUP(D343, Products!A:C, 3, FALSE)</f>
        <v>Sports</v>
      </c>
      <c r="M343" t="str">
        <f>IFERROR(VLOOKUP(C343, Customers!A:E, 5, FALSE), "Unknown")</f>
        <v>Retail</v>
      </c>
      <c r="N343" t="str">
        <f>VLOOKUP(E343, Sales_Reps!A:C, 3, FALSE)</f>
        <v>South</v>
      </c>
      <c r="O343">
        <f>VLOOKUP(D343, Products!A:D, 4, FALSE)</f>
        <v>516</v>
      </c>
      <c r="P343">
        <f>IFERROR(VLOOKUP(C343, Customers!A:C, 3, FALSE), 0)</f>
        <v>35</v>
      </c>
      <c r="Q343">
        <f t="shared" si="5"/>
        <v>0.4891089108910891</v>
      </c>
    </row>
    <row r="344" spans="1:17" x14ac:dyDescent="0.3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  <c r="L344" t="str">
        <f>VLOOKUP(D344, Products!A:C, 3, FALSE)</f>
        <v>Home</v>
      </c>
      <c r="M344" t="str">
        <f>IFERROR(VLOOKUP(C344, Customers!A:E, 5, FALSE), "Unknown")</f>
        <v>SMB</v>
      </c>
      <c r="N344" t="str">
        <f>VLOOKUP(E344, Sales_Reps!A:C, 3, FALSE)</f>
        <v>South</v>
      </c>
      <c r="O344">
        <f>VLOOKUP(D344, Products!A:D, 4, FALSE)</f>
        <v>519</v>
      </c>
      <c r="P344">
        <f>IFERROR(VLOOKUP(C344, Customers!A:C, 3, FALSE), 0)</f>
        <v>48</v>
      </c>
      <c r="Q344">
        <f t="shared" si="5"/>
        <v>0.51944444444444449</v>
      </c>
    </row>
    <row r="345" spans="1:17" x14ac:dyDescent="0.3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  <c r="L345" t="str">
        <f>VLOOKUP(D345, Products!A:C, 3, FALSE)</f>
        <v>Sports</v>
      </c>
      <c r="M345" t="str">
        <f>IFERROR(VLOOKUP(C345, Customers!A:E, 5, FALSE), "Unknown")</f>
        <v>Retail</v>
      </c>
      <c r="N345" t="str">
        <f>VLOOKUP(E345, Sales_Reps!A:C, 3, FALSE)</f>
        <v>South</v>
      </c>
      <c r="O345">
        <f>VLOOKUP(D345, Products!A:D, 4, FALSE)</f>
        <v>2467</v>
      </c>
      <c r="P345">
        <f>IFERROR(VLOOKUP(C345, Customers!A:C, 3, FALSE), 0)</f>
        <v>22</v>
      </c>
      <c r="Q345">
        <f t="shared" si="5"/>
        <v>0.28492753623188405</v>
      </c>
    </row>
    <row r="346" spans="1:17" x14ac:dyDescent="0.3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  <c r="L346" t="str">
        <f>VLOOKUP(D346, Products!A:C, 3, FALSE)</f>
        <v>Sports</v>
      </c>
      <c r="M346" t="str">
        <f>IFERROR(VLOOKUP(C346, Customers!A:E, 5, FALSE), "Unknown")</f>
        <v>Retail</v>
      </c>
      <c r="N346" t="str">
        <f>VLOOKUP(E346, Sales_Reps!A:C, 3, FALSE)</f>
        <v>South</v>
      </c>
      <c r="O346">
        <f>VLOOKUP(D346, Products!A:D, 4, FALSE)</f>
        <v>2827</v>
      </c>
      <c r="P346">
        <f>IFERROR(VLOOKUP(C346, Customers!A:C, 3, FALSE), 0)</f>
        <v>42</v>
      </c>
      <c r="Q346">
        <f t="shared" si="5"/>
        <v>0.5926512968299712</v>
      </c>
    </row>
    <row r="347" spans="1:17" x14ac:dyDescent="0.3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  <c r="L347" t="str">
        <f>VLOOKUP(D347, Products!A:C, 3, FALSE)</f>
        <v>Beauty</v>
      </c>
      <c r="M347" t="str">
        <f>IFERROR(VLOOKUP(C347, Customers!A:E, 5, FALSE), "Unknown")</f>
        <v>Retail</v>
      </c>
      <c r="N347" t="str">
        <f>VLOOKUP(E347, Sales_Reps!A:C, 3, FALSE)</f>
        <v>North</v>
      </c>
      <c r="O347">
        <f>VLOOKUP(D347, Products!A:D, 4, FALSE)</f>
        <v>647</v>
      </c>
      <c r="P347">
        <f>IFERROR(VLOOKUP(C347, Customers!A:C, 3, FALSE), 0)</f>
        <v>54</v>
      </c>
      <c r="Q347">
        <f t="shared" si="5"/>
        <v>0.57987012987012987</v>
      </c>
    </row>
    <row r="348" spans="1:17" x14ac:dyDescent="0.3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  <c r="L348" t="str">
        <f>VLOOKUP(D348, Products!A:C, 3, FALSE)</f>
        <v>Electronics</v>
      </c>
      <c r="M348" t="str">
        <f>IFERROR(VLOOKUP(C348, Customers!A:E, 5, FALSE), "Unknown")</f>
        <v>Corporate</v>
      </c>
      <c r="N348" t="str">
        <f>VLOOKUP(E348, Sales_Reps!A:C, 3, FALSE)</f>
        <v>South</v>
      </c>
      <c r="O348">
        <f>VLOOKUP(D348, Products!A:D, 4, FALSE)</f>
        <v>1149</v>
      </c>
      <c r="P348">
        <f>IFERROR(VLOOKUP(C348, Customers!A:C, 3, FALSE), 0)</f>
        <v>47</v>
      </c>
      <c r="Q348">
        <f t="shared" si="5"/>
        <v>0.56477272727272732</v>
      </c>
    </row>
    <row r="349" spans="1:17" x14ac:dyDescent="0.3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  <c r="L349" t="str">
        <f>VLOOKUP(D349, Products!A:C, 3, FALSE)</f>
        <v>Sports</v>
      </c>
      <c r="M349" t="str">
        <f>IFERROR(VLOOKUP(C349, Customers!A:E, 5, FALSE), "Unknown")</f>
        <v>Retail</v>
      </c>
      <c r="N349" t="str">
        <f>VLOOKUP(E349, Sales_Reps!A:C, 3, FALSE)</f>
        <v>West</v>
      </c>
      <c r="O349">
        <f>VLOOKUP(D349, Products!A:D, 4, FALSE)</f>
        <v>2265</v>
      </c>
      <c r="P349">
        <f>IFERROR(VLOOKUP(C349, Customers!A:C, 3, FALSE), 0)</f>
        <v>36</v>
      </c>
      <c r="Q349">
        <f t="shared" si="5"/>
        <v>0.58133086876155271</v>
      </c>
    </row>
    <row r="350" spans="1:17" x14ac:dyDescent="0.3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  <c r="L350" t="str">
        <f>VLOOKUP(D350, Products!A:C, 3, FALSE)</f>
        <v>Electronics</v>
      </c>
      <c r="M350" t="str">
        <f>IFERROR(VLOOKUP(C350, Customers!A:E, 5, FALSE), "Unknown")</f>
        <v>SMB</v>
      </c>
      <c r="N350" t="str">
        <f>VLOOKUP(E350, Sales_Reps!A:C, 3, FALSE)</f>
        <v>West</v>
      </c>
      <c r="O350">
        <f>VLOOKUP(D350, Products!A:D, 4, FALSE)</f>
        <v>1665</v>
      </c>
      <c r="P350">
        <f>IFERROR(VLOOKUP(C350, Customers!A:C, 3, FALSE), 0)</f>
        <v>38</v>
      </c>
      <c r="Q350">
        <f t="shared" si="5"/>
        <v>0.53361344537815125</v>
      </c>
    </row>
    <row r="351" spans="1:17" x14ac:dyDescent="0.3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  <c r="L351" t="str">
        <f>VLOOKUP(D351, Products!A:C, 3, FALSE)</f>
        <v>Home</v>
      </c>
      <c r="M351" t="str">
        <f>IFERROR(VLOOKUP(C351, Customers!A:E, 5, FALSE), "Unknown")</f>
        <v>SMB</v>
      </c>
      <c r="N351" t="str">
        <f>VLOOKUP(E351, Sales_Reps!A:C, 3, FALSE)</f>
        <v>West</v>
      </c>
      <c r="O351">
        <f>VLOOKUP(D351, Products!A:D, 4, FALSE)</f>
        <v>288</v>
      </c>
      <c r="P351">
        <f>IFERROR(VLOOKUP(C351, Customers!A:C, 3, FALSE), 0)</f>
        <v>29</v>
      </c>
      <c r="Q351">
        <f t="shared" si="5"/>
        <v>0.22162162162162163</v>
      </c>
    </row>
    <row r="352" spans="1:17" x14ac:dyDescent="0.3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  <c r="L352" t="str">
        <f>VLOOKUP(D352, Products!A:C, 3, FALSE)</f>
        <v>Apparel</v>
      </c>
      <c r="M352" t="str">
        <f>IFERROR(VLOOKUP(C352, Customers!A:E, 5, FALSE), "Unknown")</f>
        <v>Retail</v>
      </c>
      <c r="N352" t="str">
        <f>VLOOKUP(E352, Sales_Reps!A:C, 3, FALSE)</f>
        <v>East</v>
      </c>
      <c r="O352">
        <f>VLOOKUP(D352, Products!A:D, 4, FALSE)</f>
        <v>1075</v>
      </c>
      <c r="P352">
        <f>IFERROR(VLOOKUP(C352, Customers!A:C, 3, FALSE), 0)</f>
        <v>39</v>
      </c>
      <c r="Q352">
        <f t="shared" si="5"/>
        <v>0.57171314741035861</v>
      </c>
    </row>
    <row r="353" spans="1:17" x14ac:dyDescent="0.3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  <c r="L353" t="str">
        <f>VLOOKUP(D353, Products!A:C, 3, FALSE)</f>
        <v>Apparel</v>
      </c>
      <c r="M353" t="str">
        <f>IFERROR(VLOOKUP(C353, Customers!A:E, 5, FALSE), "Unknown")</f>
        <v>Retail</v>
      </c>
      <c r="N353" t="str">
        <f>VLOOKUP(E353, Sales_Reps!A:C, 3, FALSE)</f>
        <v>East</v>
      </c>
      <c r="O353">
        <f>VLOOKUP(D353, Products!A:D, 4, FALSE)</f>
        <v>2611</v>
      </c>
      <c r="P353">
        <f>IFERROR(VLOOKUP(C353, Customers!A:C, 3, FALSE), 0)</f>
        <v>64</v>
      </c>
      <c r="Q353">
        <f t="shared" si="5"/>
        <v>0.28269230769230769</v>
      </c>
    </row>
    <row r="354" spans="1:17" x14ac:dyDescent="0.3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  <c r="L354" t="str">
        <f>VLOOKUP(D354, Products!A:C, 3, FALSE)</f>
        <v>Beauty</v>
      </c>
      <c r="M354" t="str">
        <f>IFERROR(VLOOKUP(C354, Customers!A:E, 5, FALSE), "Unknown")</f>
        <v>SMB</v>
      </c>
      <c r="N354" t="str">
        <f>VLOOKUP(E354, Sales_Reps!A:C, 3, FALSE)</f>
        <v>West</v>
      </c>
      <c r="O354">
        <f>VLOOKUP(D354, Products!A:D, 4, FALSE)</f>
        <v>1222</v>
      </c>
      <c r="P354">
        <f>IFERROR(VLOOKUP(C354, Customers!A:C, 3, FALSE), 0)</f>
        <v>52</v>
      </c>
      <c r="Q354">
        <f t="shared" si="5"/>
        <v>0.2593939393939394</v>
      </c>
    </row>
    <row r="355" spans="1:17" x14ac:dyDescent="0.3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  <c r="L355" t="str">
        <f>VLOOKUP(D355, Products!A:C, 3, FALSE)</f>
        <v>Beauty</v>
      </c>
      <c r="M355" t="str">
        <f>IFERROR(VLOOKUP(C355, Customers!A:E, 5, FALSE), "Unknown")</f>
        <v>Retail</v>
      </c>
      <c r="N355" t="str">
        <f>VLOOKUP(E355, Sales_Reps!A:C, 3, FALSE)</f>
        <v>West</v>
      </c>
      <c r="O355">
        <f>VLOOKUP(D355, Products!A:D, 4, FALSE)</f>
        <v>675</v>
      </c>
      <c r="P355">
        <f>IFERROR(VLOOKUP(C355, Customers!A:C, 3, FALSE), 0)</f>
        <v>60</v>
      </c>
      <c r="Q355">
        <f t="shared" si="5"/>
        <v>0.296875</v>
      </c>
    </row>
    <row r="356" spans="1:17" x14ac:dyDescent="0.3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  <c r="L356" t="str">
        <f>VLOOKUP(D356, Products!A:C, 3, FALSE)</f>
        <v>Grocery</v>
      </c>
      <c r="M356" t="str">
        <f>IFERROR(VLOOKUP(C356, Customers!A:E, 5, FALSE), "Unknown")</f>
        <v>SMB</v>
      </c>
      <c r="N356" t="str">
        <f>VLOOKUP(E356, Sales_Reps!A:C, 3, FALSE)</f>
        <v>East</v>
      </c>
      <c r="O356">
        <f>VLOOKUP(D356, Products!A:D, 4, FALSE)</f>
        <v>2436</v>
      </c>
      <c r="P356">
        <f>IFERROR(VLOOKUP(C356, Customers!A:C, 3, FALSE), 0)</f>
        <v>64</v>
      </c>
      <c r="Q356">
        <f t="shared" si="5"/>
        <v>0.35555555555555557</v>
      </c>
    </row>
    <row r="357" spans="1:17" x14ac:dyDescent="0.3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  <c r="L357" t="str">
        <f>VLOOKUP(D357, Products!A:C, 3, FALSE)</f>
        <v>Beauty</v>
      </c>
      <c r="M357" t="str">
        <f>IFERROR(VLOOKUP(C357, Customers!A:E, 5, FALSE), "Unknown")</f>
        <v>SMB</v>
      </c>
      <c r="N357" t="str">
        <f>VLOOKUP(E357, Sales_Reps!A:C, 3, FALSE)</f>
        <v>South</v>
      </c>
      <c r="O357">
        <f>VLOOKUP(D357, Products!A:D, 4, FALSE)</f>
        <v>1222</v>
      </c>
      <c r="P357">
        <f>IFERROR(VLOOKUP(C357, Customers!A:C, 3, FALSE), 0)</f>
        <v>52</v>
      </c>
      <c r="Q357">
        <f t="shared" si="5"/>
        <v>0.2593939393939394</v>
      </c>
    </row>
    <row r="358" spans="1:17" x14ac:dyDescent="0.3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  <c r="L358" t="str">
        <f>VLOOKUP(D358, Products!A:C, 3, FALSE)</f>
        <v>Apparel</v>
      </c>
      <c r="M358" t="str">
        <f>IFERROR(VLOOKUP(C358, Customers!A:E, 5, FALSE), "Unknown")</f>
        <v>Retail</v>
      </c>
      <c r="N358" t="str">
        <f>VLOOKUP(E358, Sales_Reps!A:C, 3, FALSE)</f>
        <v>South</v>
      </c>
      <c r="O358">
        <f>VLOOKUP(D358, Products!A:D, 4, FALSE)</f>
        <v>2509</v>
      </c>
      <c r="P358">
        <f>IFERROR(VLOOKUP(C358, Customers!A:C, 3, FALSE), 0)</f>
        <v>38</v>
      </c>
      <c r="Q358">
        <f t="shared" si="5"/>
        <v>0.3069060773480663</v>
      </c>
    </row>
    <row r="359" spans="1:17" x14ac:dyDescent="0.3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  <c r="L359" t="str">
        <f>VLOOKUP(D359, Products!A:C, 3, FALSE)</f>
        <v>Grocery</v>
      </c>
      <c r="M359" t="str">
        <f>IFERROR(VLOOKUP(C359, Customers!A:E, 5, FALSE), "Unknown")</f>
        <v>SMB</v>
      </c>
      <c r="N359" t="str">
        <f>VLOOKUP(E359, Sales_Reps!A:C, 3, FALSE)</f>
        <v>West</v>
      </c>
      <c r="O359">
        <f>VLOOKUP(D359, Products!A:D, 4, FALSE)</f>
        <v>1412</v>
      </c>
      <c r="P359">
        <f>IFERROR(VLOOKUP(C359, Customers!A:C, 3, FALSE), 0)</f>
        <v>59</v>
      </c>
      <c r="Q359">
        <f t="shared" si="5"/>
        <v>0.37797356828193834</v>
      </c>
    </row>
    <row r="360" spans="1:17" x14ac:dyDescent="0.3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  <c r="L360" t="str">
        <f>VLOOKUP(D360, Products!A:C, 3, FALSE)</f>
        <v>Beauty</v>
      </c>
      <c r="M360" t="str">
        <f>IFERROR(VLOOKUP(C360, Customers!A:E, 5, FALSE), "Unknown")</f>
        <v>Retail</v>
      </c>
      <c r="N360" t="str">
        <f>VLOOKUP(E360, Sales_Reps!A:C, 3, FALSE)</f>
        <v>South</v>
      </c>
      <c r="O360">
        <f>VLOOKUP(D360, Products!A:D, 4, FALSE)</f>
        <v>647</v>
      </c>
      <c r="P360">
        <f>IFERROR(VLOOKUP(C360, Customers!A:C, 3, FALSE), 0)</f>
        <v>32</v>
      </c>
      <c r="Q360">
        <f t="shared" si="5"/>
        <v>0.57987012987012987</v>
      </c>
    </row>
    <row r="361" spans="1:17" x14ac:dyDescent="0.3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  <c r="L361" t="str">
        <f>VLOOKUP(D361, Products!A:C, 3, FALSE)</f>
        <v>Sports</v>
      </c>
      <c r="M361" t="str">
        <f>IFERROR(VLOOKUP(C361, Customers!A:E, 5, FALSE), "Unknown")</f>
        <v>Retail</v>
      </c>
      <c r="N361" t="str">
        <f>VLOOKUP(E361, Sales_Reps!A:C, 3, FALSE)</f>
        <v>East</v>
      </c>
      <c r="O361">
        <f>VLOOKUP(D361, Products!A:D, 4, FALSE)</f>
        <v>2028</v>
      </c>
      <c r="P361">
        <f>IFERROR(VLOOKUP(C361, Customers!A:C, 3, FALSE), 0)</f>
        <v>26</v>
      </c>
      <c r="Q361">
        <f t="shared" si="5"/>
        <v>0.29090909090909089</v>
      </c>
    </row>
    <row r="362" spans="1:17" x14ac:dyDescent="0.3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  <c r="L362" t="str">
        <f>VLOOKUP(D362, Products!A:C, 3, FALSE)</f>
        <v>Grocery</v>
      </c>
      <c r="M362" t="str">
        <f>IFERROR(VLOOKUP(C362, Customers!A:E, 5, FALSE), "Unknown")</f>
        <v>SMB</v>
      </c>
      <c r="N362" t="str">
        <f>VLOOKUP(E362, Sales_Reps!A:C, 3, FALSE)</f>
        <v>South</v>
      </c>
      <c r="O362">
        <f>VLOOKUP(D362, Products!A:D, 4, FALSE)</f>
        <v>1010</v>
      </c>
      <c r="P362">
        <f>IFERROR(VLOOKUP(C362, Customers!A:C, 3, FALSE), 0)</f>
        <v>46</v>
      </c>
      <c r="Q362">
        <f t="shared" si="5"/>
        <v>0.54298642533936647</v>
      </c>
    </row>
    <row r="363" spans="1:17" x14ac:dyDescent="0.3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  <c r="L363" t="str">
        <f>VLOOKUP(D363, Products!A:C, 3, FALSE)</f>
        <v>Electronics</v>
      </c>
      <c r="M363" t="str">
        <f>IFERROR(VLOOKUP(C363, Customers!A:E, 5, FALSE), "Unknown")</f>
        <v>SMB</v>
      </c>
      <c r="N363" t="str">
        <f>VLOOKUP(E363, Sales_Reps!A:C, 3, FALSE)</f>
        <v>West</v>
      </c>
      <c r="O363">
        <f>VLOOKUP(D363, Products!A:D, 4, FALSE)</f>
        <v>517</v>
      </c>
      <c r="P363">
        <f>IFERROR(VLOOKUP(C363, Customers!A:C, 3, FALSE), 0)</f>
        <v>53</v>
      </c>
      <c r="Q363">
        <f t="shared" si="5"/>
        <v>0.57622950819672136</v>
      </c>
    </row>
    <row r="364" spans="1:17" x14ac:dyDescent="0.3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  <c r="L364" t="str">
        <f>VLOOKUP(D364, Products!A:C, 3, FALSE)</f>
        <v>Electronics</v>
      </c>
      <c r="M364" t="str">
        <f>IFERROR(VLOOKUP(C364, Customers!A:E, 5, FALSE), "Unknown")</f>
        <v>Corporate</v>
      </c>
      <c r="N364" t="str">
        <f>VLOOKUP(E364, Sales_Reps!A:C, 3, FALSE)</f>
        <v>North</v>
      </c>
      <c r="O364">
        <f>VLOOKUP(D364, Products!A:D, 4, FALSE)</f>
        <v>1665</v>
      </c>
      <c r="P364">
        <f>IFERROR(VLOOKUP(C364, Customers!A:C, 3, FALSE), 0)</f>
        <v>43</v>
      </c>
      <c r="Q364">
        <f t="shared" si="5"/>
        <v>0.53361344537815125</v>
      </c>
    </row>
    <row r="365" spans="1:17" x14ac:dyDescent="0.3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  <c r="L365" t="str">
        <f>VLOOKUP(D365, Products!A:C, 3, FALSE)</f>
        <v>Apparel</v>
      </c>
      <c r="M365" t="str">
        <f>IFERROR(VLOOKUP(C365, Customers!A:E, 5, FALSE), "Unknown")</f>
        <v>Retail</v>
      </c>
      <c r="N365" t="str">
        <f>VLOOKUP(E365, Sales_Reps!A:C, 3, FALSE)</f>
        <v>South</v>
      </c>
      <c r="O365">
        <f>VLOOKUP(D365, Products!A:D, 4, FALSE)</f>
        <v>1748</v>
      </c>
      <c r="P365">
        <f>IFERROR(VLOOKUP(C365, Customers!A:C, 3, FALSE), 0)</f>
        <v>29</v>
      </c>
      <c r="Q365">
        <f t="shared" si="5"/>
        <v>0.49333333333333335</v>
      </c>
    </row>
    <row r="366" spans="1:17" x14ac:dyDescent="0.3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  <c r="L366" t="str">
        <f>VLOOKUP(D366, Products!A:C, 3, FALSE)</f>
        <v>Grocery</v>
      </c>
      <c r="M366" t="str">
        <f>IFERROR(VLOOKUP(C366, Customers!A:E, 5, FALSE), "Unknown")</f>
        <v>Retail</v>
      </c>
      <c r="N366" t="str">
        <f>VLOOKUP(E366, Sales_Reps!A:C, 3, FALSE)</f>
        <v>East</v>
      </c>
      <c r="O366">
        <f>VLOOKUP(D366, Products!A:D, 4, FALSE)</f>
        <v>1010</v>
      </c>
      <c r="P366">
        <f>IFERROR(VLOOKUP(C366, Customers!A:C, 3, FALSE), 0)</f>
        <v>36</v>
      </c>
      <c r="Q366">
        <f t="shared" si="5"/>
        <v>0.54298642533936647</v>
      </c>
    </row>
    <row r="367" spans="1:17" x14ac:dyDescent="0.3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  <c r="L367" t="str">
        <f>VLOOKUP(D367, Products!A:C, 3, FALSE)</f>
        <v>Home</v>
      </c>
      <c r="M367" t="str">
        <f>IFERROR(VLOOKUP(C367, Customers!A:E, 5, FALSE), "Unknown")</f>
        <v>Retail</v>
      </c>
      <c r="N367" t="str">
        <f>VLOOKUP(E367, Sales_Reps!A:C, 3, FALSE)</f>
        <v>South</v>
      </c>
      <c r="O367">
        <f>VLOOKUP(D367, Products!A:D, 4, FALSE)</f>
        <v>464</v>
      </c>
      <c r="P367">
        <f>IFERROR(VLOOKUP(C367, Customers!A:C, 3, FALSE), 0)</f>
        <v>52</v>
      </c>
      <c r="Q367">
        <f t="shared" si="5"/>
        <v>0.57431192660550456</v>
      </c>
    </row>
    <row r="368" spans="1:17" x14ac:dyDescent="0.3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  <c r="L368" t="str">
        <f>VLOOKUP(D368, Products!A:C, 3, FALSE)</f>
        <v>Beauty</v>
      </c>
      <c r="M368" t="str">
        <f>IFERROR(VLOOKUP(C368, Customers!A:E, 5, FALSE), "Unknown")</f>
        <v>SMB</v>
      </c>
      <c r="N368" t="str">
        <f>VLOOKUP(E368, Sales_Reps!A:C, 3, FALSE)</f>
        <v>East</v>
      </c>
      <c r="O368">
        <f>VLOOKUP(D368, Products!A:D, 4, FALSE)</f>
        <v>647</v>
      </c>
      <c r="P368">
        <f>IFERROR(VLOOKUP(C368, Customers!A:C, 3, FALSE), 0)</f>
        <v>26</v>
      </c>
      <c r="Q368">
        <f t="shared" si="5"/>
        <v>0.57987012987012987</v>
      </c>
    </row>
    <row r="369" spans="1:17" x14ac:dyDescent="0.3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  <c r="L369" t="str">
        <f>VLOOKUP(D369, Products!A:C, 3, FALSE)</f>
        <v>Electronics</v>
      </c>
      <c r="M369" t="str">
        <f>IFERROR(VLOOKUP(C369, Customers!A:E, 5, FALSE), "Unknown")</f>
        <v>Retail</v>
      </c>
      <c r="N369" t="str">
        <f>VLOOKUP(E369, Sales_Reps!A:C, 3, FALSE)</f>
        <v>West</v>
      </c>
      <c r="O369">
        <f>VLOOKUP(D369, Products!A:D, 4, FALSE)</f>
        <v>1052</v>
      </c>
      <c r="P369">
        <f>IFERROR(VLOOKUP(C369, Customers!A:C, 3, FALSE), 0)</f>
        <v>49</v>
      </c>
      <c r="Q369">
        <f t="shared" si="5"/>
        <v>0.5953846153846154</v>
      </c>
    </row>
    <row r="370" spans="1:17" x14ac:dyDescent="0.3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  <c r="L370" t="str">
        <f>VLOOKUP(D370, Products!A:C, 3, FALSE)</f>
        <v>Sports</v>
      </c>
      <c r="M370" t="str">
        <f>IFERROR(VLOOKUP(C370, Customers!A:E, 5, FALSE), "Unknown")</f>
        <v>Retail</v>
      </c>
      <c r="N370" t="str">
        <f>VLOOKUP(E370, Sales_Reps!A:C, 3, FALSE)</f>
        <v>North</v>
      </c>
      <c r="O370">
        <f>VLOOKUP(D370, Products!A:D, 4, FALSE)</f>
        <v>147</v>
      </c>
      <c r="P370">
        <f>IFERROR(VLOOKUP(C370, Customers!A:C, 3, FALSE), 0)</f>
        <v>26</v>
      </c>
      <c r="Q370">
        <f t="shared" si="5"/>
        <v>0.22631578947368422</v>
      </c>
    </row>
    <row r="371" spans="1:17" x14ac:dyDescent="0.3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  <c r="L371" t="str">
        <f>VLOOKUP(D371, Products!A:C, 3, FALSE)</f>
        <v>Apparel</v>
      </c>
      <c r="M371" t="str">
        <f>IFERROR(VLOOKUP(C371, Customers!A:E, 5, FALSE), "Unknown")</f>
        <v>Corporate</v>
      </c>
      <c r="N371" t="str">
        <f>VLOOKUP(E371, Sales_Reps!A:C, 3, FALSE)</f>
        <v>South</v>
      </c>
      <c r="O371">
        <f>VLOOKUP(D371, Products!A:D, 4, FALSE)</f>
        <v>1173</v>
      </c>
      <c r="P371">
        <f>IFERROR(VLOOKUP(C371, Customers!A:C, 3, FALSE), 0)</f>
        <v>42</v>
      </c>
      <c r="Q371">
        <f t="shared" si="5"/>
        <v>0.52701612903225803</v>
      </c>
    </row>
    <row r="372" spans="1:17" x14ac:dyDescent="0.3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  <c r="L372" t="str">
        <f>VLOOKUP(D372, Products!A:C, 3, FALSE)</f>
        <v>Beauty</v>
      </c>
      <c r="M372" t="str">
        <f>IFERROR(VLOOKUP(C372, Customers!A:E, 5, FALSE), "Unknown")</f>
        <v>Retail</v>
      </c>
      <c r="N372" t="str">
        <f>VLOOKUP(E372, Sales_Reps!A:C, 3, FALSE)</f>
        <v>North</v>
      </c>
      <c r="O372">
        <f>VLOOKUP(D372, Products!A:D, 4, FALSE)</f>
        <v>1219</v>
      </c>
      <c r="P372">
        <f>IFERROR(VLOOKUP(C372, Customers!A:C, 3, FALSE), 0)</f>
        <v>35</v>
      </c>
      <c r="Q372">
        <f t="shared" si="5"/>
        <v>0.46768558951965067</v>
      </c>
    </row>
    <row r="373" spans="1:17" x14ac:dyDescent="0.3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  <c r="L373" t="str">
        <f>VLOOKUP(D373, Products!A:C, 3, FALSE)</f>
        <v>Beauty</v>
      </c>
      <c r="M373" t="str">
        <f>IFERROR(VLOOKUP(C373, Customers!A:E, 5, FALSE), "Unknown")</f>
        <v>Retail</v>
      </c>
      <c r="N373" t="str">
        <f>VLOOKUP(E373, Sales_Reps!A:C, 3, FALSE)</f>
        <v>South</v>
      </c>
      <c r="O373">
        <f>VLOOKUP(D373, Products!A:D, 4, FALSE)</f>
        <v>647</v>
      </c>
      <c r="P373">
        <f>IFERROR(VLOOKUP(C373, Customers!A:C, 3, FALSE), 0)</f>
        <v>64</v>
      </c>
      <c r="Q373">
        <f t="shared" si="5"/>
        <v>0.57987012987012987</v>
      </c>
    </row>
    <row r="374" spans="1:17" x14ac:dyDescent="0.3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  <c r="L374" t="str">
        <f>VLOOKUP(D374, Products!A:C, 3, FALSE)</f>
        <v>Home</v>
      </c>
      <c r="M374" t="str">
        <f>IFERROR(VLOOKUP(C374, Customers!A:E, 5, FALSE), "Unknown")</f>
        <v>SMB</v>
      </c>
      <c r="N374" t="str">
        <f>VLOOKUP(E374, Sales_Reps!A:C, 3, FALSE)</f>
        <v>West</v>
      </c>
      <c r="O374">
        <f>VLOOKUP(D374, Products!A:D, 4, FALSE)</f>
        <v>2459</v>
      </c>
      <c r="P374">
        <f>IFERROR(VLOOKUP(C374, Customers!A:C, 3, FALSE), 0)</f>
        <v>28</v>
      </c>
      <c r="Q374">
        <f t="shared" si="5"/>
        <v>0.51594488188976373</v>
      </c>
    </row>
    <row r="375" spans="1:17" x14ac:dyDescent="0.3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  <c r="L375" t="str">
        <f>VLOOKUP(D375, Products!A:C, 3, FALSE)</f>
        <v>Apparel</v>
      </c>
      <c r="M375" t="str">
        <f>IFERROR(VLOOKUP(C375, Customers!A:E, 5, FALSE), "Unknown")</f>
        <v>Retail</v>
      </c>
      <c r="N375" t="str">
        <f>VLOOKUP(E375, Sales_Reps!A:C, 3, FALSE)</f>
        <v>South</v>
      </c>
      <c r="O375">
        <f>VLOOKUP(D375, Products!A:D, 4, FALSE)</f>
        <v>1075</v>
      </c>
      <c r="P375">
        <f>IFERROR(VLOOKUP(C375, Customers!A:C, 3, FALSE), 0)</f>
        <v>57</v>
      </c>
      <c r="Q375">
        <f t="shared" si="5"/>
        <v>0.57171314741035861</v>
      </c>
    </row>
    <row r="376" spans="1:17" x14ac:dyDescent="0.3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  <c r="L376" t="str">
        <f>VLOOKUP(D376, Products!A:C, 3, FALSE)</f>
        <v>Beauty</v>
      </c>
      <c r="M376" t="str">
        <f>IFERROR(VLOOKUP(C376, Customers!A:E, 5, FALSE), "Unknown")</f>
        <v>SMB</v>
      </c>
      <c r="N376" t="str">
        <f>VLOOKUP(E376, Sales_Reps!A:C, 3, FALSE)</f>
        <v>South</v>
      </c>
      <c r="O376">
        <f>VLOOKUP(D376, Products!A:D, 4, FALSE)</f>
        <v>1219</v>
      </c>
      <c r="P376">
        <f>IFERROR(VLOOKUP(C376, Customers!A:C, 3, FALSE), 0)</f>
        <v>28</v>
      </c>
      <c r="Q376">
        <f t="shared" si="5"/>
        <v>0.46768558951965067</v>
      </c>
    </row>
    <row r="377" spans="1:17" x14ac:dyDescent="0.3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  <c r="L377" t="str">
        <f>VLOOKUP(D377, Products!A:C, 3, FALSE)</f>
        <v>Sports</v>
      </c>
      <c r="M377" t="str">
        <f>IFERROR(VLOOKUP(C377, Customers!A:E, 5, FALSE), "Unknown")</f>
        <v>Retail</v>
      </c>
      <c r="N377" t="str">
        <f>VLOOKUP(E377, Sales_Reps!A:C, 3, FALSE)</f>
        <v>North</v>
      </c>
      <c r="O377">
        <f>VLOOKUP(D377, Products!A:D, 4, FALSE)</f>
        <v>302</v>
      </c>
      <c r="P377">
        <f>IFERROR(VLOOKUP(C377, Customers!A:C, 3, FALSE), 0)</f>
        <v>28</v>
      </c>
      <c r="Q377">
        <f t="shared" si="5"/>
        <v>0.35744680851063831</v>
      </c>
    </row>
    <row r="378" spans="1:17" x14ac:dyDescent="0.3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  <c r="L378" t="str">
        <f>VLOOKUP(D378, Products!A:C, 3, FALSE)</f>
        <v>Beauty</v>
      </c>
      <c r="M378" t="str">
        <f>IFERROR(VLOOKUP(C378, Customers!A:E, 5, FALSE), "Unknown")</f>
        <v>SMB</v>
      </c>
      <c r="N378" t="str">
        <f>VLOOKUP(E378, Sales_Reps!A:C, 3, FALSE)</f>
        <v>South</v>
      </c>
      <c r="O378">
        <f>VLOOKUP(D378, Products!A:D, 4, FALSE)</f>
        <v>2237</v>
      </c>
      <c r="P378">
        <f>IFERROR(VLOOKUP(C378, Customers!A:C, 3, FALSE), 0)</f>
        <v>36</v>
      </c>
      <c r="Q378">
        <f t="shared" si="5"/>
        <v>0.56137254901960787</v>
      </c>
    </row>
    <row r="379" spans="1:17" x14ac:dyDescent="0.3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  <c r="L379" t="str">
        <f>VLOOKUP(D379, Products!A:C, 3, FALSE)</f>
        <v>Electronics</v>
      </c>
      <c r="M379" t="str">
        <f>IFERROR(VLOOKUP(C379, Customers!A:E, 5, FALSE), "Unknown")</f>
        <v>SMB</v>
      </c>
      <c r="N379" t="str">
        <f>VLOOKUP(E379, Sales_Reps!A:C, 3, FALSE)</f>
        <v>South</v>
      </c>
      <c r="O379">
        <f>VLOOKUP(D379, Products!A:D, 4, FALSE)</f>
        <v>2405</v>
      </c>
      <c r="P379">
        <f>IFERROR(VLOOKUP(C379, Customers!A:C, 3, FALSE), 0)</f>
        <v>59</v>
      </c>
      <c r="Q379">
        <f t="shared" si="5"/>
        <v>0.54878048780487809</v>
      </c>
    </row>
    <row r="380" spans="1:17" x14ac:dyDescent="0.3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  <c r="L380" t="str">
        <f>VLOOKUP(D380, Products!A:C, 3, FALSE)</f>
        <v>Home</v>
      </c>
      <c r="M380" t="str">
        <f>IFERROR(VLOOKUP(C380, Customers!A:E, 5, FALSE), "Unknown")</f>
        <v>Retail</v>
      </c>
      <c r="N380" t="str">
        <f>VLOOKUP(E380, Sales_Reps!A:C, 3, FALSE)</f>
        <v>West</v>
      </c>
      <c r="O380">
        <f>VLOOKUP(D380, Products!A:D, 4, FALSE)</f>
        <v>1143</v>
      </c>
      <c r="P380">
        <f>IFERROR(VLOOKUP(C380, Customers!A:C, 3, FALSE), 0)</f>
        <v>27</v>
      </c>
      <c r="Q380">
        <f t="shared" si="5"/>
        <v>0.43694581280788175</v>
      </c>
    </row>
    <row r="381" spans="1:17" x14ac:dyDescent="0.3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  <c r="L381" t="str">
        <f>VLOOKUP(D381, Products!A:C, 3, FALSE)</f>
        <v>Home</v>
      </c>
      <c r="M381" t="str">
        <f>IFERROR(VLOOKUP(C381, Customers!A:E, 5, FALSE), "Unknown")</f>
        <v>SMB</v>
      </c>
      <c r="N381" t="str">
        <f>VLOOKUP(E381, Sales_Reps!A:C, 3, FALSE)</f>
        <v>North</v>
      </c>
      <c r="O381">
        <f>VLOOKUP(D381, Products!A:D, 4, FALSE)</f>
        <v>2459</v>
      </c>
      <c r="P381">
        <f>IFERROR(VLOOKUP(C381, Customers!A:C, 3, FALSE), 0)</f>
        <v>29</v>
      </c>
      <c r="Q381">
        <f t="shared" si="5"/>
        <v>0.51594488188976373</v>
      </c>
    </row>
    <row r="382" spans="1:17" x14ac:dyDescent="0.3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  <c r="L382" t="str">
        <f>VLOOKUP(D382, Products!A:C, 3, FALSE)</f>
        <v>Grocery</v>
      </c>
      <c r="M382" t="str">
        <f>IFERROR(VLOOKUP(C382, Customers!A:E, 5, FALSE), "Unknown")</f>
        <v>SMB</v>
      </c>
      <c r="N382" t="str">
        <f>VLOOKUP(E382, Sales_Reps!A:C, 3, FALSE)</f>
        <v>South</v>
      </c>
      <c r="O382">
        <f>VLOOKUP(D382, Products!A:D, 4, FALSE)</f>
        <v>1182</v>
      </c>
      <c r="P382">
        <f>IFERROR(VLOOKUP(C382, Customers!A:C, 3, FALSE), 0)</f>
        <v>40</v>
      </c>
      <c r="Q382">
        <f t="shared" si="5"/>
        <v>0.50336134453781511</v>
      </c>
    </row>
    <row r="383" spans="1:17" x14ac:dyDescent="0.3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  <c r="L383" t="str">
        <f>VLOOKUP(D383, Products!A:C, 3, FALSE)</f>
        <v>Beauty</v>
      </c>
      <c r="M383" t="str">
        <f>IFERROR(VLOOKUP(C383, Customers!A:E, 5, FALSE), "Unknown")</f>
        <v>SMB</v>
      </c>
      <c r="N383" t="str">
        <f>VLOOKUP(E383, Sales_Reps!A:C, 3, FALSE)</f>
        <v>West</v>
      </c>
      <c r="O383">
        <f>VLOOKUP(D383, Products!A:D, 4, FALSE)</f>
        <v>647</v>
      </c>
      <c r="P383">
        <f>IFERROR(VLOOKUP(C383, Customers!A:C, 3, FALSE), 0)</f>
        <v>55</v>
      </c>
      <c r="Q383">
        <f t="shared" si="5"/>
        <v>0.57987012987012987</v>
      </c>
    </row>
    <row r="384" spans="1:17" x14ac:dyDescent="0.3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  <c r="L384" t="str">
        <f>VLOOKUP(D384, Products!A:C, 3, FALSE)</f>
        <v>Grocery</v>
      </c>
      <c r="M384" t="str">
        <f>IFERROR(VLOOKUP(C384, Customers!A:E, 5, FALSE), "Unknown")</f>
        <v>Retail</v>
      </c>
      <c r="N384" t="str">
        <f>VLOOKUP(E384, Sales_Reps!A:C, 3, FALSE)</f>
        <v>West</v>
      </c>
      <c r="O384">
        <f>VLOOKUP(D384, Products!A:D, 4, FALSE)</f>
        <v>1203</v>
      </c>
      <c r="P384">
        <f>IFERROR(VLOOKUP(C384, Customers!A:C, 3, FALSE), 0)</f>
        <v>31</v>
      </c>
      <c r="Q384">
        <f t="shared" si="5"/>
        <v>0.47004405286343615</v>
      </c>
    </row>
    <row r="385" spans="1:17" x14ac:dyDescent="0.3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  <c r="L385" t="str">
        <f>VLOOKUP(D385, Products!A:C, 3, FALSE)</f>
        <v>Apparel</v>
      </c>
      <c r="M385" t="str">
        <f>IFERROR(VLOOKUP(C385, Customers!A:E, 5, FALSE), "Unknown")</f>
        <v>SMB</v>
      </c>
      <c r="N385" t="str">
        <f>VLOOKUP(E385, Sales_Reps!A:C, 3, FALSE)</f>
        <v>West</v>
      </c>
      <c r="O385">
        <f>VLOOKUP(D385, Products!A:D, 4, FALSE)</f>
        <v>1173</v>
      </c>
      <c r="P385">
        <f>IFERROR(VLOOKUP(C385, Customers!A:C, 3, FALSE), 0)</f>
        <v>60</v>
      </c>
      <c r="Q385">
        <f t="shared" si="5"/>
        <v>0.52701612903225803</v>
      </c>
    </row>
    <row r="386" spans="1:17" x14ac:dyDescent="0.3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  <c r="L386" t="str">
        <f>VLOOKUP(D386, Products!A:C, 3, FALSE)</f>
        <v>Apparel</v>
      </c>
      <c r="M386" t="str">
        <f>IFERROR(VLOOKUP(C386, Customers!A:E, 5, FALSE), "Unknown")</f>
        <v>SMB</v>
      </c>
      <c r="N386" t="str">
        <f>VLOOKUP(E386, Sales_Reps!A:C, 3, FALSE)</f>
        <v>East</v>
      </c>
      <c r="O386">
        <f>VLOOKUP(D386, Products!A:D, 4, FALSE)</f>
        <v>2629</v>
      </c>
      <c r="P386">
        <f>IFERROR(VLOOKUP(C386, Customers!A:C, 3, FALSE), 0)</f>
        <v>57</v>
      </c>
      <c r="Q386">
        <f t="shared" si="5"/>
        <v>0.26151685393258428</v>
      </c>
    </row>
    <row r="387" spans="1:17" x14ac:dyDescent="0.3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  <c r="L387" t="str">
        <f>VLOOKUP(D387, Products!A:C, 3, FALSE)</f>
        <v>Electronics</v>
      </c>
      <c r="M387" t="str">
        <f>IFERROR(VLOOKUP(C387, Customers!A:E, 5, FALSE), "Unknown")</f>
        <v>Retail</v>
      </c>
      <c r="N387" t="str">
        <f>VLOOKUP(E387, Sales_Reps!A:C, 3, FALSE)</f>
        <v>North</v>
      </c>
      <c r="O387">
        <f>VLOOKUP(D387, Products!A:D, 4, FALSE)</f>
        <v>1259</v>
      </c>
      <c r="P387">
        <f>IFERROR(VLOOKUP(C387, Customers!A:C, 3, FALSE), 0)</f>
        <v>50</v>
      </c>
      <c r="Q387">
        <f t="shared" ref="Q387:Q450" si="6">(G387 - O387) / G387</f>
        <v>0.52669172932330832</v>
      </c>
    </row>
    <row r="388" spans="1:17" x14ac:dyDescent="0.3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  <c r="L388" t="str">
        <f>VLOOKUP(D388, Products!A:C, 3, FALSE)</f>
        <v>Electronics</v>
      </c>
      <c r="M388" t="str">
        <f>IFERROR(VLOOKUP(C388, Customers!A:E, 5, FALSE), "Unknown")</f>
        <v>Retail</v>
      </c>
      <c r="N388" t="str">
        <f>VLOOKUP(E388, Sales_Reps!A:C, 3, FALSE)</f>
        <v>South</v>
      </c>
      <c r="O388">
        <f>VLOOKUP(D388, Products!A:D, 4, FALSE)</f>
        <v>517</v>
      </c>
      <c r="P388">
        <f>IFERROR(VLOOKUP(C388, Customers!A:C, 3, FALSE), 0)</f>
        <v>50</v>
      </c>
      <c r="Q388">
        <f t="shared" si="6"/>
        <v>0.57622950819672136</v>
      </c>
    </row>
    <row r="389" spans="1:17" x14ac:dyDescent="0.3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  <c r="L389" t="str">
        <f>VLOOKUP(D389, Products!A:C, 3, FALSE)</f>
        <v>Electronics</v>
      </c>
      <c r="M389" t="str">
        <f>IFERROR(VLOOKUP(C389, Customers!A:E, 5, FALSE), "Unknown")</f>
        <v>SMB</v>
      </c>
      <c r="N389" t="str">
        <f>VLOOKUP(E389, Sales_Reps!A:C, 3, FALSE)</f>
        <v>South</v>
      </c>
      <c r="O389">
        <f>VLOOKUP(D389, Products!A:D, 4, FALSE)</f>
        <v>1052</v>
      </c>
      <c r="P389">
        <f>IFERROR(VLOOKUP(C389, Customers!A:C, 3, FALSE), 0)</f>
        <v>35</v>
      </c>
      <c r="Q389">
        <f t="shared" si="6"/>
        <v>0.5953846153846154</v>
      </c>
    </row>
    <row r="390" spans="1:17" x14ac:dyDescent="0.3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  <c r="L390" t="str">
        <f>VLOOKUP(D390, Products!A:C, 3, FALSE)</f>
        <v>Apparel</v>
      </c>
      <c r="M390" t="str">
        <f>IFERROR(VLOOKUP(C390, Customers!A:E, 5, FALSE), "Unknown")</f>
        <v>Retail</v>
      </c>
      <c r="N390" t="str">
        <f>VLOOKUP(E390, Sales_Reps!A:C, 3, FALSE)</f>
        <v>East</v>
      </c>
      <c r="O390">
        <f>VLOOKUP(D390, Products!A:D, 4, FALSE)</f>
        <v>1748</v>
      </c>
      <c r="P390">
        <f>IFERROR(VLOOKUP(C390, Customers!A:C, 3, FALSE), 0)</f>
        <v>49</v>
      </c>
      <c r="Q390">
        <f t="shared" si="6"/>
        <v>0.49333333333333335</v>
      </c>
    </row>
    <row r="391" spans="1:17" x14ac:dyDescent="0.3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  <c r="L391" t="str">
        <f>VLOOKUP(D391, Products!A:C, 3, FALSE)</f>
        <v>Sports</v>
      </c>
      <c r="M391" t="str">
        <f>IFERROR(VLOOKUP(C391, Customers!A:E, 5, FALSE), "Unknown")</f>
        <v>Retail</v>
      </c>
      <c r="N391" t="str">
        <f>VLOOKUP(E391, Sales_Reps!A:C, 3, FALSE)</f>
        <v>East</v>
      </c>
      <c r="O391">
        <f>VLOOKUP(D391, Products!A:D, 4, FALSE)</f>
        <v>2827</v>
      </c>
      <c r="P391">
        <f>IFERROR(VLOOKUP(C391, Customers!A:C, 3, FALSE), 0)</f>
        <v>26</v>
      </c>
      <c r="Q391">
        <f t="shared" si="6"/>
        <v>0.5926512968299712</v>
      </c>
    </row>
    <row r="392" spans="1:17" x14ac:dyDescent="0.3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  <c r="L392" t="str">
        <f>VLOOKUP(D392, Products!A:C, 3, FALSE)</f>
        <v>Beauty</v>
      </c>
      <c r="M392" t="str">
        <f>IFERROR(VLOOKUP(C392, Customers!A:E, 5, FALSE), "Unknown")</f>
        <v>Retail</v>
      </c>
      <c r="N392" t="str">
        <f>VLOOKUP(E392, Sales_Reps!A:C, 3, FALSE)</f>
        <v>North</v>
      </c>
      <c r="O392">
        <f>VLOOKUP(D392, Products!A:D, 4, FALSE)</f>
        <v>1728</v>
      </c>
      <c r="P392">
        <f>IFERROR(VLOOKUP(C392, Customers!A:C, 3, FALSE), 0)</f>
        <v>22</v>
      </c>
      <c r="Q392">
        <f t="shared" si="6"/>
        <v>0.48417910447761192</v>
      </c>
    </row>
    <row r="393" spans="1:17" x14ac:dyDescent="0.3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  <c r="L393" t="str">
        <f>VLOOKUP(D393, Products!A:C, 3, FALSE)</f>
        <v>Beauty</v>
      </c>
      <c r="M393" t="str">
        <f>IFERROR(VLOOKUP(C393, Customers!A:E, 5, FALSE), "Unknown")</f>
        <v>Retail</v>
      </c>
      <c r="N393" t="str">
        <f>VLOOKUP(E393, Sales_Reps!A:C, 3, FALSE)</f>
        <v>West</v>
      </c>
      <c r="O393">
        <f>VLOOKUP(D393, Products!A:D, 4, FALSE)</f>
        <v>647</v>
      </c>
      <c r="P393">
        <f>IFERROR(VLOOKUP(C393, Customers!A:C, 3, FALSE), 0)</f>
        <v>63</v>
      </c>
      <c r="Q393">
        <f t="shared" si="6"/>
        <v>0.57987012987012987</v>
      </c>
    </row>
    <row r="394" spans="1:17" x14ac:dyDescent="0.3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  <c r="L394" t="str">
        <f>VLOOKUP(D394, Products!A:C, 3, FALSE)</f>
        <v>Apparel</v>
      </c>
      <c r="M394" t="str">
        <f>IFERROR(VLOOKUP(C394, Customers!A:E, 5, FALSE), "Unknown")</f>
        <v>Unknown</v>
      </c>
      <c r="N394" t="str">
        <f>VLOOKUP(E394, Sales_Reps!A:C, 3, FALSE)</f>
        <v>West</v>
      </c>
      <c r="O394">
        <f>VLOOKUP(D394, Products!A:D, 4, FALSE)</f>
        <v>2509</v>
      </c>
      <c r="P394">
        <f>IFERROR(VLOOKUP(C394, Customers!A:C, 3, FALSE), 0)</f>
        <v>0</v>
      </c>
      <c r="Q394">
        <f t="shared" si="6"/>
        <v>0.3069060773480663</v>
      </c>
    </row>
    <row r="395" spans="1:17" x14ac:dyDescent="0.3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  <c r="L395" t="str">
        <f>VLOOKUP(D395, Products!A:C, 3, FALSE)</f>
        <v>Sports</v>
      </c>
      <c r="M395" t="str">
        <f>IFERROR(VLOOKUP(C395, Customers!A:E, 5, FALSE), "Unknown")</f>
        <v>SMB</v>
      </c>
      <c r="N395" t="str">
        <f>VLOOKUP(E395, Sales_Reps!A:C, 3, FALSE)</f>
        <v>West</v>
      </c>
      <c r="O395">
        <f>VLOOKUP(D395, Products!A:D, 4, FALSE)</f>
        <v>302</v>
      </c>
      <c r="P395">
        <f>IFERROR(VLOOKUP(C395, Customers!A:C, 3, FALSE), 0)</f>
        <v>29</v>
      </c>
      <c r="Q395">
        <f t="shared" si="6"/>
        <v>0.35744680851063831</v>
      </c>
    </row>
    <row r="396" spans="1:17" x14ac:dyDescent="0.3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  <c r="L396" t="str">
        <f>VLOOKUP(D396, Products!A:C, 3, FALSE)</f>
        <v>Grocery</v>
      </c>
      <c r="M396" t="str">
        <f>IFERROR(VLOOKUP(C396, Customers!A:E, 5, FALSE), "Unknown")</f>
        <v>SMB</v>
      </c>
      <c r="N396" t="str">
        <f>VLOOKUP(E396, Sales_Reps!A:C, 3, FALSE)</f>
        <v>South</v>
      </c>
      <c r="O396">
        <f>VLOOKUP(D396, Products!A:D, 4, FALSE)</f>
        <v>2214</v>
      </c>
      <c r="P396">
        <f>IFERROR(VLOOKUP(C396, Customers!A:C, 3, FALSE), 0)</f>
        <v>39</v>
      </c>
      <c r="Q396">
        <f t="shared" si="6"/>
        <v>0.39508196721311473</v>
      </c>
    </row>
    <row r="397" spans="1:17" x14ac:dyDescent="0.3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  <c r="L397" t="str">
        <f>VLOOKUP(D397, Products!A:C, 3, FALSE)</f>
        <v>Sports</v>
      </c>
      <c r="M397" t="str">
        <f>IFERROR(VLOOKUP(C397, Customers!A:E, 5, FALSE), "Unknown")</f>
        <v>Corporate</v>
      </c>
      <c r="N397" t="str">
        <f>VLOOKUP(E397, Sales_Reps!A:C, 3, FALSE)</f>
        <v>East</v>
      </c>
      <c r="O397">
        <f>VLOOKUP(D397, Products!A:D, 4, FALSE)</f>
        <v>2827</v>
      </c>
      <c r="P397">
        <f>IFERROR(VLOOKUP(C397, Customers!A:C, 3, FALSE), 0)</f>
        <v>57</v>
      </c>
      <c r="Q397">
        <f t="shared" si="6"/>
        <v>0.5926512968299712</v>
      </c>
    </row>
    <row r="398" spans="1:17" x14ac:dyDescent="0.3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  <c r="L398" t="str">
        <f>VLOOKUP(D398, Products!A:C, 3, FALSE)</f>
        <v>Beauty</v>
      </c>
      <c r="M398" t="str">
        <f>IFERROR(VLOOKUP(C398, Customers!A:E, 5, FALSE), "Unknown")</f>
        <v>Corporate</v>
      </c>
      <c r="N398" t="str">
        <f>VLOOKUP(E398, Sales_Reps!A:C, 3, FALSE)</f>
        <v>North</v>
      </c>
      <c r="O398">
        <f>VLOOKUP(D398, Products!A:D, 4, FALSE)</f>
        <v>1219</v>
      </c>
      <c r="P398">
        <f>IFERROR(VLOOKUP(C398, Customers!A:C, 3, FALSE), 0)</f>
        <v>40</v>
      </c>
      <c r="Q398">
        <f t="shared" si="6"/>
        <v>0.46768558951965067</v>
      </c>
    </row>
    <row r="399" spans="1:17" x14ac:dyDescent="0.3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  <c r="L399" t="str">
        <f>VLOOKUP(D399, Products!A:C, 3, FALSE)</f>
        <v>Apparel</v>
      </c>
      <c r="M399" t="str">
        <f>IFERROR(VLOOKUP(C399, Customers!A:E, 5, FALSE), "Unknown")</f>
        <v>Retail</v>
      </c>
      <c r="N399" t="str">
        <f>VLOOKUP(E399, Sales_Reps!A:C, 3, FALSE)</f>
        <v>West</v>
      </c>
      <c r="O399">
        <f>VLOOKUP(D399, Products!A:D, 4, FALSE)</f>
        <v>1886</v>
      </c>
      <c r="P399">
        <f>IFERROR(VLOOKUP(C399, Customers!A:C, 3, FALSE), 0)</f>
        <v>61</v>
      </c>
      <c r="Q399">
        <f t="shared" si="6"/>
        <v>0.4031645569620253</v>
      </c>
    </row>
    <row r="400" spans="1:17" x14ac:dyDescent="0.3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  <c r="L400" t="str">
        <f>VLOOKUP(D400, Products!A:C, 3, FALSE)</f>
        <v>Home</v>
      </c>
      <c r="M400" t="str">
        <f>IFERROR(VLOOKUP(C400, Customers!A:E, 5, FALSE), "Unknown")</f>
        <v>Retail</v>
      </c>
      <c r="N400" t="str">
        <f>VLOOKUP(E400, Sales_Reps!A:C, 3, FALSE)</f>
        <v>West</v>
      </c>
      <c r="O400">
        <f>VLOOKUP(D400, Products!A:D, 4, FALSE)</f>
        <v>2459</v>
      </c>
      <c r="P400">
        <f>IFERROR(VLOOKUP(C400, Customers!A:C, 3, FALSE), 0)</f>
        <v>36</v>
      </c>
      <c r="Q400">
        <f t="shared" si="6"/>
        <v>0.51594488188976373</v>
      </c>
    </row>
    <row r="401" spans="1:17" x14ac:dyDescent="0.3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  <c r="L401" t="str">
        <f>VLOOKUP(D401, Products!A:C, 3, FALSE)</f>
        <v>Grocery</v>
      </c>
      <c r="M401" t="str">
        <f>IFERROR(VLOOKUP(C401, Customers!A:E, 5, FALSE), "Unknown")</f>
        <v>Retail</v>
      </c>
      <c r="N401" t="str">
        <f>VLOOKUP(E401, Sales_Reps!A:C, 3, FALSE)</f>
        <v>South</v>
      </c>
      <c r="O401">
        <f>VLOOKUP(D401, Products!A:D, 4, FALSE)</f>
        <v>1435</v>
      </c>
      <c r="P401">
        <f>IFERROR(VLOOKUP(C401, Customers!A:C, 3, FALSE), 0)</f>
        <v>64</v>
      </c>
      <c r="Q401">
        <f t="shared" si="6"/>
        <v>0.48007246376811596</v>
      </c>
    </row>
    <row r="402" spans="1:17" x14ac:dyDescent="0.3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  <c r="L402" t="str">
        <f>VLOOKUP(D402, Products!A:C, 3, FALSE)</f>
        <v>Electronics</v>
      </c>
      <c r="M402" t="str">
        <f>IFERROR(VLOOKUP(C402, Customers!A:E, 5, FALSE), "Unknown")</f>
        <v>Unknown</v>
      </c>
      <c r="N402" t="str">
        <f>VLOOKUP(E402, Sales_Reps!A:C, 3, FALSE)</f>
        <v>South</v>
      </c>
      <c r="O402">
        <f>VLOOKUP(D402, Products!A:D, 4, FALSE)</f>
        <v>517</v>
      </c>
      <c r="P402">
        <f>IFERROR(VLOOKUP(C402, Customers!A:C, 3, FALSE), 0)</f>
        <v>0</v>
      </c>
      <c r="Q402">
        <f t="shared" si="6"/>
        <v>0.57622950819672136</v>
      </c>
    </row>
    <row r="403" spans="1:17" x14ac:dyDescent="0.3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  <c r="L403" t="str">
        <f>VLOOKUP(D403, Products!A:C, 3, FALSE)</f>
        <v>Beauty</v>
      </c>
      <c r="M403" t="str">
        <f>IFERROR(VLOOKUP(C403, Customers!A:E, 5, FALSE), "Unknown")</f>
        <v>Retail</v>
      </c>
      <c r="N403" t="str">
        <f>VLOOKUP(E403, Sales_Reps!A:C, 3, FALSE)</f>
        <v>West</v>
      </c>
      <c r="O403">
        <f>VLOOKUP(D403, Products!A:D, 4, FALSE)</f>
        <v>2768</v>
      </c>
      <c r="P403">
        <f>IFERROR(VLOOKUP(C403, Customers!A:C, 3, FALSE), 0)</f>
        <v>41</v>
      </c>
      <c r="Q403">
        <f t="shared" si="6"/>
        <v>0.43278688524590164</v>
      </c>
    </row>
    <row r="404" spans="1:17" x14ac:dyDescent="0.3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  <c r="L404" t="str">
        <f>VLOOKUP(D404, Products!A:C, 3, FALSE)</f>
        <v>Grocery</v>
      </c>
      <c r="M404" t="str">
        <f>IFERROR(VLOOKUP(C404, Customers!A:E, 5, FALSE), "Unknown")</f>
        <v>SMB</v>
      </c>
      <c r="N404" t="str">
        <f>VLOOKUP(E404, Sales_Reps!A:C, 3, FALSE)</f>
        <v>East</v>
      </c>
      <c r="O404">
        <f>VLOOKUP(D404, Products!A:D, 4, FALSE)</f>
        <v>2027</v>
      </c>
      <c r="P404">
        <f>IFERROR(VLOOKUP(C404, Customers!A:C, 3, FALSE), 0)</f>
        <v>64</v>
      </c>
      <c r="Q404">
        <f t="shared" si="6"/>
        <v>0.50196560196560192</v>
      </c>
    </row>
    <row r="405" spans="1:17" x14ac:dyDescent="0.3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  <c r="L405" t="str">
        <f>VLOOKUP(D405, Products!A:C, 3, FALSE)</f>
        <v>Electronics</v>
      </c>
      <c r="M405" t="str">
        <f>IFERROR(VLOOKUP(C405, Customers!A:E, 5, FALSE), "Unknown")</f>
        <v>SMB</v>
      </c>
      <c r="N405" t="str">
        <f>VLOOKUP(E405, Sales_Reps!A:C, 3, FALSE)</f>
        <v>West</v>
      </c>
      <c r="O405">
        <f>VLOOKUP(D405, Products!A:D, 4, FALSE)</f>
        <v>2865</v>
      </c>
      <c r="P405">
        <f>IFERROR(VLOOKUP(C405, Customers!A:C, 3, FALSE), 0)</f>
        <v>65</v>
      </c>
      <c r="Q405">
        <f t="shared" si="6"/>
        <v>0.27833753148614609</v>
      </c>
    </row>
    <row r="406" spans="1:17" x14ac:dyDescent="0.3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  <c r="L406" t="str">
        <f>VLOOKUP(D406, Products!A:C, 3, FALSE)</f>
        <v>Electronics</v>
      </c>
      <c r="M406" t="str">
        <f>IFERROR(VLOOKUP(C406, Customers!A:E, 5, FALSE), "Unknown")</f>
        <v>Corporate</v>
      </c>
      <c r="N406" t="str">
        <f>VLOOKUP(E406, Sales_Reps!A:C, 3, FALSE)</f>
        <v>East</v>
      </c>
      <c r="O406">
        <f>VLOOKUP(D406, Products!A:D, 4, FALSE)</f>
        <v>1259</v>
      </c>
      <c r="P406">
        <f>IFERROR(VLOOKUP(C406, Customers!A:C, 3, FALSE), 0)</f>
        <v>55</v>
      </c>
      <c r="Q406">
        <f t="shared" si="6"/>
        <v>0.52669172932330832</v>
      </c>
    </row>
    <row r="407" spans="1:17" x14ac:dyDescent="0.3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  <c r="L407" t="str">
        <f>VLOOKUP(D407, Products!A:C, 3, FALSE)</f>
        <v>Sports</v>
      </c>
      <c r="M407" t="str">
        <f>IFERROR(VLOOKUP(C407, Customers!A:E, 5, FALSE), "Unknown")</f>
        <v>Retail</v>
      </c>
      <c r="N407" t="str">
        <f>VLOOKUP(E407, Sales_Reps!A:C, 3, FALSE)</f>
        <v>East</v>
      </c>
      <c r="O407">
        <f>VLOOKUP(D407, Products!A:D, 4, FALSE)</f>
        <v>2028</v>
      </c>
      <c r="P407">
        <f>IFERROR(VLOOKUP(C407, Customers!A:C, 3, FALSE), 0)</f>
        <v>36</v>
      </c>
      <c r="Q407">
        <f t="shared" si="6"/>
        <v>0.29090909090909089</v>
      </c>
    </row>
    <row r="408" spans="1:17" x14ac:dyDescent="0.3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  <c r="L408" t="str">
        <f>VLOOKUP(D408, Products!A:C, 3, FALSE)</f>
        <v>Electronics</v>
      </c>
      <c r="M408" t="str">
        <f>IFERROR(VLOOKUP(C408, Customers!A:E, 5, FALSE), "Unknown")</f>
        <v>Retail</v>
      </c>
      <c r="N408" t="str">
        <f>VLOOKUP(E408, Sales_Reps!A:C, 3, FALSE)</f>
        <v>North</v>
      </c>
      <c r="O408">
        <f>VLOOKUP(D408, Products!A:D, 4, FALSE)</f>
        <v>517</v>
      </c>
      <c r="P408">
        <f>IFERROR(VLOOKUP(C408, Customers!A:C, 3, FALSE), 0)</f>
        <v>35</v>
      </c>
      <c r="Q408">
        <f t="shared" si="6"/>
        <v>0.57622950819672136</v>
      </c>
    </row>
    <row r="409" spans="1:17" x14ac:dyDescent="0.3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  <c r="L409" t="str">
        <f>VLOOKUP(D409, Products!A:C, 3, FALSE)</f>
        <v>Grocery</v>
      </c>
      <c r="M409" t="str">
        <f>IFERROR(VLOOKUP(C409, Customers!A:E, 5, FALSE), "Unknown")</f>
        <v>Corporate</v>
      </c>
      <c r="N409" t="str">
        <f>VLOOKUP(E409, Sales_Reps!A:C, 3, FALSE)</f>
        <v>West</v>
      </c>
      <c r="O409">
        <f>VLOOKUP(D409, Products!A:D, 4, FALSE)</f>
        <v>1412</v>
      </c>
      <c r="P409">
        <f>IFERROR(VLOOKUP(C409, Customers!A:C, 3, FALSE), 0)</f>
        <v>31</v>
      </c>
      <c r="Q409">
        <f t="shared" si="6"/>
        <v>0.37797356828193834</v>
      </c>
    </row>
    <row r="410" spans="1:17" x14ac:dyDescent="0.3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  <c r="L410" t="str">
        <f>VLOOKUP(D410, Products!A:C, 3, FALSE)</f>
        <v>Home</v>
      </c>
      <c r="M410" t="str">
        <f>IFERROR(VLOOKUP(C410, Customers!A:E, 5, FALSE), "Unknown")</f>
        <v>SMB</v>
      </c>
      <c r="N410" t="str">
        <f>VLOOKUP(E410, Sales_Reps!A:C, 3, FALSE)</f>
        <v>North</v>
      </c>
      <c r="O410">
        <f>VLOOKUP(D410, Products!A:D, 4, FALSE)</f>
        <v>329</v>
      </c>
      <c r="P410">
        <f>IFERROR(VLOOKUP(C410, Customers!A:C, 3, FALSE), 0)</f>
        <v>65</v>
      </c>
      <c r="Q410">
        <f t="shared" si="6"/>
        <v>0.50151515151515147</v>
      </c>
    </row>
    <row r="411" spans="1:17" x14ac:dyDescent="0.3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  <c r="L411" t="str">
        <f>VLOOKUP(D411, Products!A:C, 3, FALSE)</f>
        <v>Apparel</v>
      </c>
      <c r="M411" t="str">
        <f>IFERROR(VLOOKUP(C411, Customers!A:E, 5, FALSE), "Unknown")</f>
        <v>Corporate</v>
      </c>
      <c r="N411" t="str">
        <f>VLOOKUP(E411, Sales_Reps!A:C, 3, FALSE)</f>
        <v>South</v>
      </c>
      <c r="O411">
        <f>VLOOKUP(D411, Products!A:D, 4, FALSE)</f>
        <v>1886</v>
      </c>
      <c r="P411">
        <f>IFERROR(VLOOKUP(C411, Customers!A:C, 3, FALSE), 0)</f>
        <v>38</v>
      </c>
      <c r="Q411">
        <f t="shared" si="6"/>
        <v>0.4031645569620253</v>
      </c>
    </row>
    <row r="412" spans="1:17" x14ac:dyDescent="0.3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  <c r="L412" t="str">
        <f>VLOOKUP(D412, Products!A:C, 3, FALSE)</f>
        <v>Electronics</v>
      </c>
      <c r="M412" t="str">
        <f>IFERROR(VLOOKUP(C412, Customers!A:E, 5, FALSE), "Unknown")</f>
        <v>Retail</v>
      </c>
      <c r="N412" t="str">
        <f>VLOOKUP(E412, Sales_Reps!A:C, 3, FALSE)</f>
        <v>South</v>
      </c>
      <c r="O412">
        <f>VLOOKUP(D412, Products!A:D, 4, FALSE)</f>
        <v>1052</v>
      </c>
      <c r="P412">
        <f>IFERROR(VLOOKUP(C412, Customers!A:C, 3, FALSE), 0)</f>
        <v>36</v>
      </c>
      <c r="Q412">
        <f t="shared" si="6"/>
        <v>0.5953846153846154</v>
      </c>
    </row>
    <row r="413" spans="1:17" x14ac:dyDescent="0.3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  <c r="L413" t="str">
        <f>VLOOKUP(D413, Products!A:C, 3, FALSE)</f>
        <v>Home</v>
      </c>
      <c r="M413" t="str">
        <f>IFERROR(VLOOKUP(C413, Customers!A:E, 5, FALSE), "Unknown")</f>
        <v>Retail</v>
      </c>
      <c r="N413" t="str">
        <f>VLOOKUP(E413, Sales_Reps!A:C, 3, FALSE)</f>
        <v>South</v>
      </c>
      <c r="O413">
        <f>VLOOKUP(D413, Products!A:D, 4, FALSE)</f>
        <v>1850</v>
      </c>
      <c r="P413">
        <f>IFERROR(VLOOKUP(C413, Customers!A:C, 3, FALSE), 0)</f>
        <v>32</v>
      </c>
      <c r="Q413">
        <f t="shared" si="6"/>
        <v>0.59869848156182215</v>
      </c>
    </row>
    <row r="414" spans="1:17" x14ac:dyDescent="0.3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  <c r="L414" t="str">
        <f>VLOOKUP(D414, Products!A:C, 3, FALSE)</f>
        <v>Apparel</v>
      </c>
      <c r="M414" t="str">
        <f>IFERROR(VLOOKUP(C414, Customers!A:E, 5, FALSE), "Unknown")</f>
        <v>Retail</v>
      </c>
      <c r="N414" t="str">
        <f>VLOOKUP(E414, Sales_Reps!A:C, 3, FALSE)</f>
        <v>East</v>
      </c>
      <c r="O414">
        <f>VLOOKUP(D414, Products!A:D, 4, FALSE)</f>
        <v>2611</v>
      </c>
      <c r="P414">
        <f>IFERROR(VLOOKUP(C414, Customers!A:C, 3, FALSE), 0)</f>
        <v>62</v>
      </c>
      <c r="Q414">
        <f t="shared" si="6"/>
        <v>0.28269230769230769</v>
      </c>
    </row>
    <row r="415" spans="1:17" x14ac:dyDescent="0.3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  <c r="L415" t="str">
        <f>VLOOKUP(D415, Products!A:C, 3, FALSE)</f>
        <v>Apparel</v>
      </c>
      <c r="M415" t="str">
        <f>IFERROR(VLOOKUP(C415, Customers!A:E, 5, FALSE), "Unknown")</f>
        <v>SMB</v>
      </c>
      <c r="N415" t="str">
        <f>VLOOKUP(E415, Sales_Reps!A:C, 3, FALSE)</f>
        <v>North</v>
      </c>
      <c r="O415">
        <f>VLOOKUP(D415, Products!A:D, 4, FALSE)</f>
        <v>1962</v>
      </c>
      <c r="P415">
        <f>IFERROR(VLOOKUP(C415, Customers!A:C, 3, FALSE), 0)</f>
        <v>29</v>
      </c>
      <c r="Q415">
        <f t="shared" si="6"/>
        <v>0.2786764705882353</v>
      </c>
    </row>
    <row r="416" spans="1:17" x14ac:dyDescent="0.3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  <c r="L416" t="str">
        <f>VLOOKUP(D416, Products!A:C, 3, FALSE)</f>
        <v>Sports</v>
      </c>
      <c r="M416" t="str">
        <f>IFERROR(VLOOKUP(C416, Customers!A:E, 5, FALSE), "Unknown")</f>
        <v>Retail</v>
      </c>
      <c r="N416" t="str">
        <f>VLOOKUP(E416, Sales_Reps!A:C, 3, FALSE)</f>
        <v>North</v>
      </c>
      <c r="O416">
        <f>VLOOKUP(D416, Products!A:D, 4, FALSE)</f>
        <v>1860</v>
      </c>
      <c r="P416">
        <f>IFERROR(VLOOKUP(C416, Customers!A:C, 3, FALSE), 0)</f>
        <v>45</v>
      </c>
      <c r="Q416">
        <f t="shared" si="6"/>
        <v>0.50793650793650791</v>
      </c>
    </row>
    <row r="417" spans="1:17" x14ac:dyDescent="0.3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  <c r="L417" t="str">
        <f>VLOOKUP(D417, Products!A:C, 3, FALSE)</f>
        <v>Home</v>
      </c>
      <c r="M417" t="str">
        <f>IFERROR(VLOOKUP(C417, Customers!A:E, 5, FALSE), "Unknown")</f>
        <v>Retail</v>
      </c>
      <c r="N417" t="str">
        <f>VLOOKUP(E417, Sales_Reps!A:C, 3, FALSE)</f>
        <v>West</v>
      </c>
      <c r="O417">
        <f>VLOOKUP(D417, Products!A:D, 4, FALSE)</f>
        <v>464</v>
      </c>
      <c r="P417">
        <f>IFERROR(VLOOKUP(C417, Customers!A:C, 3, FALSE), 0)</f>
        <v>52</v>
      </c>
      <c r="Q417">
        <f t="shared" si="6"/>
        <v>0.57431192660550456</v>
      </c>
    </row>
    <row r="418" spans="1:17" x14ac:dyDescent="0.3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  <c r="L418" t="str">
        <f>VLOOKUP(D418, Products!A:C, 3, FALSE)</f>
        <v>Home</v>
      </c>
      <c r="M418" t="str">
        <f>IFERROR(VLOOKUP(C418, Customers!A:E, 5, FALSE), "Unknown")</f>
        <v>Retail</v>
      </c>
      <c r="N418" t="str">
        <f>VLOOKUP(E418, Sales_Reps!A:C, 3, FALSE)</f>
        <v>West</v>
      </c>
      <c r="O418">
        <f>VLOOKUP(D418, Products!A:D, 4, FALSE)</f>
        <v>464</v>
      </c>
      <c r="P418">
        <f>IFERROR(VLOOKUP(C418, Customers!A:C, 3, FALSE), 0)</f>
        <v>26</v>
      </c>
      <c r="Q418">
        <f t="shared" si="6"/>
        <v>0.57431192660550456</v>
      </c>
    </row>
    <row r="419" spans="1:17" x14ac:dyDescent="0.3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  <c r="L419" t="str">
        <f>VLOOKUP(D419, Products!A:C, 3, FALSE)</f>
        <v>Apparel</v>
      </c>
      <c r="M419" t="str">
        <f>IFERROR(VLOOKUP(C419, Customers!A:E, 5, FALSE), "Unknown")</f>
        <v>Retail</v>
      </c>
      <c r="N419" t="str">
        <f>VLOOKUP(E419, Sales_Reps!A:C, 3, FALSE)</f>
        <v>West</v>
      </c>
      <c r="O419">
        <f>VLOOKUP(D419, Products!A:D, 4, FALSE)</f>
        <v>1075</v>
      </c>
      <c r="P419">
        <f>IFERROR(VLOOKUP(C419, Customers!A:C, 3, FALSE), 0)</f>
        <v>44</v>
      </c>
      <c r="Q419">
        <f t="shared" si="6"/>
        <v>0.57171314741035861</v>
      </c>
    </row>
    <row r="420" spans="1:17" x14ac:dyDescent="0.3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  <c r="L420" t="str">
        <f>VLOOKUP(D420, Products!A:C, 3, FALSE)</f>
        <v>Electronics</v>
      </c>
      <c r="M420" t="str">
        <f>IFERROR(VLOOKUP(C420, Customers!A:E, 5, FALSE), "Unknown")</f>
        <v>Retail</v>
      </c>
      <c r="N420" t="str">
        <f>VLOOKUP(E420, Sales_Reps!A:C, 3, FALSE)</f>
        <v>South</v>
      </c>
      <c r="O420">
        <f>VLOOKUP(D420, Products!A:D, 4, FALSE)</f>
        <v>2865</v>
      </c>
      <c r="P420">
        <f>IFERROR(VLOOKUP(C420, Customers!A:C, 3, FALSE), 0)</f>
        <v>43</v>
      </c>
      <c r="Q420">
        <f t="shared" si="6"/>
        <v>0.27833753148614609</v>
      </c>
    </row>
    <row r="421" spans="1:17" x14ac:dyDescent="0.3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  <c r="L421" t="str">
        <f>VLOOKUP(D421, Products!A:C, 3, FALSE)</f>
        <v>Grocery</v>
      </c>
      <c r="M421" t="str">
        <f>IFERROR(VLOOKUP(C421, Customers!A:E, 5, FALSE), "Unknown")</f>
        <v>Retail</v>
      </c>
      <c r="N421" t="str">
        <f>VLOOKUP(E421, Sales_Reps!A:C, 3, FALSE)</f>
        <v>North</v>
      </c>
      <c r="O421">
        <f>VLOOKUP(D421, Products!A:D, 4, FALSE)</f>
        <v>2027</v>
      </c>
      <c r="P421">
        <f>IFERROR(VLOOKUP(C421, Customers!A:C, 3, FALSE), 0)</f>
        <v>44</v>
      </c>
      <c r="Q421">
        <f t="shared" si="6"/>
        <v>0.50196560196560192</v>
      </c>
    </row>
    <row r="422" spans="1:17" x14ac:dyDescent="0.3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  <c r="L422" t="str">
        <f>VLOOKUP(D422, Products!A:C, 3, FALSE)</f>
        <v>Home</v>
      </c>
      <c r="M422" t="str">
        <f>IFERROR(VLOOKUP(C422, Customers!A:E, 5, FALSE), "Unknown")</f>
        <v>Retail</v>
      </c>
      <c r="N422" t="str">
        <f>VLOOKUP(E422, Sales_Reps!A:C, 3, FALSE)</f>
        <v>North</v>
      </c>
      <c r="O422">
        <f>VLOOKUP(D422, Products!A:D, 4, FALSE)</f>
        <v>2549</v>
      </c>
      <c r="P422">
        <f>IFERROR(VLOOKUP(C422, Customers!A:C, 3, FALSE), 0)</f>
        <v>24</v>
      </c>
      <c r="Q422">
        <f t="shared" si="6"/>
        <v>0.53570127504553733</v>
      </c>
    </row>
    <row r="423" spans="1:17" x14ac:dyDescent="0.3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  <c r="L423" t="str">
        <f>VLOOKUP(D423, Products!A:C, 3, FALSE)</f>
        <v>Sports</v>
      </c>
      <c r="M423" t="str">
        <f>IFERROR(VLOOKUP(C423, Customers!A:E, 5, FALSE), "Unknown")</f>
        <v>Retail</v>
      </c>
      <c r="N423" t="str">
        <f>VLOOKUP(E423, Sales_Reps!A:C, 3, FALSE)</f>
        <v>East</v>
      </c>
      <c r="O423">
        <f>VLOOKUP(D423, Products!A:D, 4, FALSE)</f>
        <v>516</v>
      </c>
      <c r="P423">
        <f>IFERROR(VLOOKUP(C423, Customers!A:C, 3, FALSE), 0)</f>
        <v>52</v>
      </c>
      <c r="Q423">
        <f t="shared" si="6"/>
        <v>0.4891089108910891</v>
      </c>
    </row>
    <row r="424" spans="1:17" x14ac:dyDescent="0.3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  <c r="L424" t="str">
        <f>VLOOKUP(D424, Products!A:C, 3, FALSE)</f>
        <v>Grocery</v>
      </c>
      <c r="M424" t="str">
        <f>IFERROR(VLOOKUP(C424, Customers!A:E, 5, FALSE), "Unknown")</f>
        <v>Retail</v>
      </c>
      <c r="N424" t="str">
        <f>VLOOKUP(E424, Sales_Reps!A:C, 3, FALSE)</f>
        <v>North</v>
      </c>
      <c r="O424">
        <f>VLOOKUP(D424, Products!A:D, 4, FALSE)</f>
        <v>2214</v>
      </c>
      <c r="P424">
        <f>IFERROR(VLOOKUP(C424, Customers!A:C, 3, FALSE), 0)</f>
        <v>37</v>
      </c>
      <c r="Q424">
        <f t="shared" si="6"/>
        <v>0.39508196721311473</v>
      </c>
    </row>
    <row r="425" spans="1:17" x14ac:dyDescent="0.3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  <c r="L425" t="str">
        <f>VLOOKUP(D425, Products!A:C, 3, FALSE)</f>
        <v>Beauty</v>
      </c>
      <c r="M425" t="str">
        <f>IFERROR(VLOOKUP(C425, Customers!A:E, 5, FALSE), "Unknown")</f>
        <v>Retail</v>
      </c>
      <c r="N425" t="str">
        <f>VLOOKUP(E425, Sales_Reps!A:C, 3, FALSE)</f>
        <v>South</v>
      </c>
      <c r="O425">
        <f>VLOOKUP(D425, Products!A:D, 4, FALSE)</f>
        <v>2420</v>
      </c>
      <c r="P425">
        <f>IFERROR(VLOOKUP(C425, Customers!A:C, 3, FALSE), 0)</f>
        <v>22</v>
      </c>
      <c r="Q425">
        <f t="shared" si="6"/>
        <v>0.29855072463768118</v>
      </c>
    </row>
    <row r="426" spans="1:17" x14ac:dyDescent="0.3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  <c r="L426" t="str">
        <f>VLOOKUP(D426, Products!A:C, 3, FALSE)</f>
        <v>Grocery</v>
      </c>
      <c r="M426" t="str">
        <f>IFERROR(VLOOKUP(C426, Customers!A:E, 5, FALSE), "Unknown")</f>
        <v>Retail</v>
      </c>
      <c r="N426" t="str">
        <f>VLOOKUP(E426, Sales_Reps!A:C, 3, FALSE)</f>
        <v>South</v>
      </c>
      <c r="O426">
        <f>VLOOKUP(D426, Products!A:D, 4, FALSE)</f>
        <v>2027</v>
      </c>
      <c r="P426">
        <f>IFERROR(VLOOKUP(C426, Customers!A:C, 3, FALSE), 0)</f>
        <v>37</v>
      </c>
      <c r="Q426">
        <f t="shared" si="6"/>
        <v>0.50196560196560192</v>
      </c>
    </row>
    <row r="427" spans="1:17" x14ac:dyDescent="0.3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  <c r="L427" t="str">
        <f>VLOOKUP(D427, Products!A:C, 3, FALSE)</f>
        <v>Electronics</v>
      </c>
      <c r="M427" t="str">
        <f>IFERROR(VLOOKUP(C427, Customers!A:E, 5, FALSE), "Unknown")</f>
        <v>Corporate</v>
      </c>
      <c r="N427" t="str">
        <f>VLOOKUP(E427, Sales_Reps!A:C, 3, FALSE)</f>
        <v>West</v>
      </c>
      <c r="O427">
        <f>VLOOKUP(D427, Products!A:D, 4, FALSE)</f>
        <v>1665</v>
      </c>
      <c r="P427">
        <f>IFERROR(VLOOKUP(C427, Customers!A:C, 3, FALSE), 0)</f>
        <v>41</v>
      </c>
      <c r="Q427">
        <f t="shared" si="6"/>
        <v>0.53361344537815125</v>
      </c>
    </row>
    <row r="428" spans="1:17" x14ac:dyDescent="0.3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  <c r="L428" t="str">
        <f>VLOOKUP(D428, Products!A:C, 3, FALSE)</f>
        <v>Sports</v>
      </c>
      <c r="M428" t="str">
        <f>IFERROR(VLOOKUP(C428, Customers!A:E, 5, FALSE), "Unknown")</f>
        <v>Corporate</v>
      </c>
      <c r="N428" t="str">
        <f>VLOOKUP(E428, Sales_Reps!A:C, 3, FALSE)</f>
        <v>North</v>
      </c>
      <c r="O428">
        <f>VLOOKUP(D428, Products!A:D, 4, FALSE)</f>
        <v>2827</v>
      </c>
      <c r="P428">
        <f>IFERROR(VLOOKUP(C428, Customers!A:C, 3, FALSE), 0)</f>
        <v>57</v>
      </c>
      <c r="Q428">
        <f t="shared" si="6"/>
        <v>0.5926512968299712</v>
      </c>
    </row>
    <row r="429" spans="1:17" x14ac:dyDescent="0.3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  <c r="L429" t="str">
        <f>VLOOKUP(D429, Products!A:C, 3, FALSE)</f>
        <v>Beauty</v>
      </c>
      <c r="M429" t="str">
        <f>IFERROR(VLOOKUP(C429, Customers!A:E, 5, FALSE), "Unknown")</f>
        <v>SMB</v>
      </c>
      <c r="N429" t="str">
        <f>VLOOKUP(E429, Sales_Reps!A:C, 3, FALSE)</f>
        <v>South</v>
      </c>
      <c r="O429">
        <f>VLOOKUP(D429, Products!A:D, 4, FALSE)</f>
        <v>1222</v>
      </c>
      <c r="P429">
        <f>IFERROR(VLOOKUP(C429, Customers!A:C, 3, FALSE), 0)</f>
        <v>60</v>
      </c>
      <c r="Q429">
        <f t="shared" si="6"/>
        <v>0.2593939393939394</v>
      </c>
    </row>
    <row r="430" spans="1:17" x14ac:dyDescent="0.3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  <c r="L430" t="str">
        <f>VLOOKUP(D430, Products!A:C, 3, FALSE)</f>
        <v>Electronics</v>
      </c>
      <c r="M430" t="str">
        <f>IFERROR(VLOOKUP(C430, Customers!A:E, 5, FALSE), "Unknown")</f>
        <v>Corporate</v>
      </c>
      <c r="N430" t="str">
        <f>VLOOKUP(E430, Sales_Reps!A:C, 3, FALSE)</f>
        <v>South</v>
      </c>
      <c r="O430">
        <f>VLOOKUP(D430, Products!A:D, 4, FALSE)</f>
        <v>861</v>
      </c>
      <c r="P430">
        <f>IFERROR(VLOOKUP(C430, Customers!A:C, 3, FALSE), 0)</f>
        <v>41</v>
      </c>
      <c r="Q430">
        <f t="shared" si="6"/>
        <v>0.39790209790209791</v>
      </c>
    </row>
    <row r="431" spans="1:17" x14ac:dyDescent="0.3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  <c r="L431" t="str">
        <f>VLOOKUP(D431, Products!A:C, 3, FALSE)</f>
        <v>Grocery</v>
      </c>
      <c r="M431" t="str">
        <f>IFERROR(VLOOKUP(C431, Customers!A:E, 5, FALSE), "Unknown")</f>
        <v>Corporate</v>
      </c>
      <c r="N431" t="str">
        <f>VLOOKUP(E431, Sales_Reps!A:C, 3, FALSE)</f>
        <v>South</v>
      </c>
      <c r="O431">
        <f>VLOOKUP(D431, Products!A:D, 4, FALSE)</f>
        <v>2911</v>
      </c>
      <c r="P431">
        <f>IFERROR(VLOOKUP(C431, Customers!A:C, 3, FALSE), 0)</f>
        <v>31</v>
      </c>
      <c r="Q431">
        <f t="shared" si="6"/>
        <v>0.28300492610837441</v>
      </c>
    </row>
    <row r="432" spans="1:17" x14ac:dyDescent="0.3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  <c r="L432" t="str">
        <f>VLOOKUP(D432, Products!A:C, 3, FALSE)</f>
        <v>Home</v>
      </c>
      <c r="M432" t="str">
        <f>IFERROR(VLOOKUP(C432, Customers!A:E, 5, FALSE), "Unknown")</f>
        <v>Retail</v>
      </c>
      <c r="N432" t="str">
        <f>VLOOKUP(E432, Sales_Reps!A:C, 3, FALSE)</f>
        <v>North</v>
      </c>
      <c r="O432">
        <f>VLOOKUP(D432, Products!A:D, 4, FALSE)</f>
        <v>288</v>
      </c>
      <c r="P432">
        <f>IFERROR(VLOOKUP(C432, Customers!A:C, 3, FALSE), 0)</f>
        <v>52</v>
      </c>
      <c r="Q432">
        <f t="shared" si="6"/>
        <v>0.22162162162162163</v>
      </c>
    </row>
    <row r="433" spans="1:17" x14ac:dyDescent="0.3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  <c r="L433" t="str">
        <f>VLOOKUP(D433, Products!A:C, 3, FALSE)</f>
        <v>Beauty</v>
      </c>
      <c r="M433" t="str">
        <f>IFERROR(VLOOKUP(C433, Customers!A:E, 5, FALSE), "Unknown")</f>
        <v>Corporate</v>
      </c>
      <c r="N433" t="str">
        <f>VLOOKUP(E433, Sales_Reps!A:C, 3, FALSE)</f>
        <v>South</v>
      </c>
      <c r="O433">
        <f>VLOOKUP(D433, Products!A:D, 4, FALSE)</f>
        <v>647</v>
      </c>
      <c r="P433">
        <f>IFERROR(VLOOKUP(C433, Customers!A:C, 3, FALSE), 0)</f>
        <v>52</v>
      </c>
      <c r="Q433">
        <f t="shared" si="6"/>
        <v>0.57987012987012987</v>
      </c>
    </row>
    <row r="434" spans="1:17" x14ac:dyDescent="0.3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  <c r="L434" t="str">
        <f>VLOOKUP(D434, Products!A:C, 3, FALSE)</f>
        <v>Electronics</v>
      </c>
      <c r="M434" t="str">
        <f>IFERROR(VLOOKUP(C434, Customers!A:E, 5, FALSE), "Unknown")</f>
        <v>SMB</v>
      </c>
      <c r="N434" t="str">
        <f>VLOOKUP(E434, Sales_Reps!A:C, 3, FALSE)</f>
        <v>West</v>
      </c>
      <c r="O434">
        <f>VLOOKUP(D434, Products!A:D, 4, FALSE)</f>
        <v>1052</v>
      </c>
      <c r="P434">
        <f>IFERROR(VLOOKUP(C434, Customers!A:C, 3, FALSE), 0)</f>
        <v>24</v>
      </c>
      <c r="Q434">
        <f t="shared" si="6"/>
        <v>0.5953846153846154</v>
      </c>
    </row>
    <row r="435" spans="1:17" x14ac:dyDescent="0.3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  <c r="L435" t="str">
        <f>VLOOKUP(D435, Products!A:C, 3, FALSE)</f>
        <v>Apparel</v>
      </c>
      <c r="M435" t="str">
        <f>IFERROR(VLOOKUP(C435, Customers!A:E, 5, FALSE), "Unknown")</f>
        <v>SMB</v>
      </c>
      <c r="N435" t="str">
        <f>VLOOKUP(E435, Sales_Reps!A:C, 3, FALSE)</f>
        <v>South</v>
      </c>
      <c r="O435">
        <f>VLOOKUP(D435, Products!A:D, 4, FALSE)</f>
        <v>1075</v>
      </c>
      <c r="P435">
        <f>IFERROR(VLOOKUP(C435, Customers!A:C, 3, FALSE), 0)</f>
        <v>26</v>
      </c>
      <c r="Q435">
        <f t="shared" si="6"/>
        <v>0.57171314741035861</v>
      </c>
    </row>
    <row r="436" spans="1:17" x14ac:dyDescent="0.3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  <c r="L436" t="str">
        <f>VLOOKUP(D436, Products!A:C, 3, FALSE)</f>
        <v>Electronics</v>
      </c>
      <c r="M436" t="str">
        <f>IFERROR(VLOOKUP(C436, Customers!A:E, 5, FALSE), "Unknown")</f>
        <v>Corporate</v>
      </c>
      <c r="N436" t="str">
        <f>VLOOKUP(E436, Sales_Reps!A:C, 3, FALSE)</f>
        <v>North</v>
      </c>
      <c r="O436">
        <f>VLOOKUP(D436, Products!A:D, 4, FALSE)</f>
        <v>2405</v>
      </c>
      <c r="P436">
        <f>IFERROR(VLOOKUP(C436, Customers!A:C, 3, FALSE), 0)</f>
        <v>31</v>
      </c>
      <c r="Q436">
        <f t="shared" si="6"/>
        <v>0.54878048780487809</v>
      </c>
    </row>
    <row r="437" spans="1:17" x14ac:dyDescent="0.3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  <c r="L437" t="str">
        <f>VLOOKUP(D437, Products!A:C, 3, FALSE)</f>
        <v>Home</v>
      </c>
      <c r="M437" t="str">
        <f>IFERROR(VLOOKUP(C437, Customers!A:E, 5, FALSE), "Unknown")</f>
        <v>Retail</v>
      </c>
      <c r="N437" t="str">
        <f>VLOOKUP(E437, Sales_Reps!A:C, 3, FALSE)</f>
        <v>South</v>
      </c>
      <c r="O437">
        <f>VLOOKUP(D437, Products!A:D, 4, FALSE)</f>
        <v>2459</v>
      </c>
      <c r="P437">
        <f>IFERROR(VLOOKUP(C437, Customers!A:C, 3, FALSE), 0)</f>
        <v>55</v>
      </c>
      <c r="Q437">
        <f t="shared" si="6"/>
        <v>0.51594488188976373</v>
      </c>
    </row>
    <row r="438" spans="1:17" x14ac:dyDescent="0.3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  <c r="L438" t="str">
        <f>VLOOKUP(D438, Products!A:C, 3, FALSE)</f>
        <v>Grocery</v>
      </c>
      <c r="M438" t="str">
        <f>IFERROR(VLOOKUP(C438, Customers!A:E, 5, FALSE), "Unknown")</f>
        <v>SMB</v>
      </c>
      <c r="N438" t="str">
        <f>VLOOKUP(E438, Sales_Reps!A:C, 3, FALSE)</f>
        <v>West</v>
      </c>
      <c r="O438">
        <f>VLOOKUP(D438, Products!A:D, 4, FALSE)</f>
        <v>2027</v>
      </c>
      <c r="P438">
        <f>IFERROR(VLOOKUP(C438, Customers!A:C, 3, FALSE), 0)</f>
        <v>42</v>
      </c>
      <c r="Q438">
        <f t="shared" si="6"/>
        <v>0.50196560196560192</v>
      </c>
    </row>
    <row r="439" spans="1:17" x14ac:dyDescent="0.3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  <c r="L439" t="str">
        <f>VLOOKUP(D439, Products!A:C, 3, FALSE)</f>
        <v>Apparel</v>
      </c>
      <c r="M439" t="str">
        <f>IFERROR(VLOOKUP(C439, Customers!A:E, 5, FALSE), "Unknown")</f>
        <v>Corporate</v>
      </c>
      <c r="N439" t="str">
        <f>VLOOKUP(E439, Sales_Reps!A:C, 3, FALSE)</f>
        <v>South</v>
      </c>
      <c r="O439">
        <f>VLOOKUP(D439, Products!A:D, 4, FALSE)</f>
        <v>396</v>
      </c>
      <c r="P439">
        <f>IFERROR(VLOOKUP(C439, Customers!A:C, 3, FALSE), 0)</f>
        <v>56</v>
      </c>
      <c r="Q439">
        <f t="shared" si="6"/>
        <v>0.36129032258064514</v>
      </c>
    </row>
    <row r="440" spans="1:17" x14ac:dyDescent="0.3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  <c r="L440" t="str">
        <f>VLOOKUP(D440, Products!A:C, 3, FALSE)</f>
        <v>Electronics</v>
      </c>
      <c r="M440" t="str">
        <f>IFERROR(VLOOKUP(C440, Customers!A:E, 5, FALSE), "Unknown")</f>
        <v>SMB</v>
      </c>
      <c r="N440" t="str">
        <f>VLOOKUP(E440, Sales_Reps!A:C, 3, FALSE)</f>
        <v>East</v>
      </c>
      <c r="O440">
        <f>VLOOKUP(D440, Products!A:D, 4, FALSE)</f>
        <v>1149</v>
      </c>
      <c r="P440">
        <f>IFERROR(VLOOKUP(C440, Customers!A:C, 3, FALSE), 0)</f>
        <v>59</v>
      </c>
      <c r="Q440">
        <f t="shared" si="6"/>
        <v>0.56477272727272732</v>
      </c>
    </row>
    <row r="441" spans="1:17" x14ac:dyDescent="0.3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  <c r="L441" t="str">
        <f>VLOOKUP(D441, Products!A:C, 3, FALSE)</f>
        <v>Grocery</v>
      </c>
      <c r="M441" t="str">
        <f>IFERROR(VLOOKUP(C441, Customers!A:E, 5, FALSE), "Unknown")</f>
        <v>SMB</v>
      </c>
      <c r="N441" t="str">
        <f>VLOOKUP(E441, Sales_Reps!A:C, 3, FALSE)</f>
        <v>West</v>
      </c>
      <c r="O441">
        <f>VLOOKUP(D441, Products!A:D, 4, FALSE)</f>
        <v>2027</v>
      </c>
      <c r="P441">
        <f>IFERROR(VLOOKUP(C441, Customers!A:C, 3, FALSE), 0)</f>
        <v>43</v>
      </c>
      <c r="Q441">
        <f t="shared" si="6"/>
        <v>0.50196560196560192</v>
      </c>
    </row>
    <row r="442" spans="1:17" x14ac:dyDescent="0.3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  <c r="L442" t="str">
        <f>VLOOKUP(D442, Products!A:C, 3, FALSE)</f>
        <v>Sports</v>
      </c>
      <c r="M442" t="str">
        <f>IFERROR(VLOOKUP(C442, Customers!A:E, 5, FALSE), "Unknown")</f>
        <v>Corporate</v>
      </c>
      <c r="N442" t="str">
        <f>VLOOKUP(E442, Sales_Reps!A:C, 3, FALSE)</f>
        <v>North</v>
      </c>
      <c r="O442">
        <f>VLOOKUP(D442, Products!A:D, 4, FALSE)</f>
        <v>516</v>
      </c>
      <c r="P442">
        <f>IFERROR(VLOOKUP(C442, Customers!A:C, 3, FALSE), 0)</f>
        <v>41</v>
      </c>
      <c r="Q442">
        <f t="shared" si="6"/>
        <v>0.4891089108910891</v>
      </c>
    </row>
    <row r="443" spans="1:17" x14ac:dyDescent="0.3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  <c r="L443" t="str">
        <f>VLOOKUP(D443, Products!A:C, 3, FALSE)</f>
        <v>Home</v>
      </c>
      <c r="M443" t="str">
        <f>IFERROR(VLOOKUP(C443, Customers!A:E, 5, FALSE), "Unknown")</f>
        <v>Corporate</v>
      </c>
      <c r="N443" t="str">
        <f>VLOOKUP(E443, Sales_Reps!A:C, 3, FALSE)</f>
        <v>North</v>
      </c>
      <c r="O443">
        <f>VLOOKUP(D443, Products!A:D, 4, FALSE)</f>
        <v>1556</v>
      </c>
      <c r="P443">
        <f>IFERROR(VLOOKUP(C443, Customers!A:C, 3, FALSE), 0)</f>
        <v>29</v>
      </c>
      <c r="Q443">
        <f t="shared" si="6"/>
        <v>0.52123076923076928</v>
      </c>
    </row>
    <row r="444" spans="1:17" x14ac:dyDescent="0.3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  <c r="L444" t="str">
        <f>VLOOKUP(D444, Products!A:C, 3, FALSE)</f>
        <v>Electronics</v>
      </c>
      <c r="M444" t="str">
        <f>IFERROR(VLOOKUP(C444, Customers!A:E, 5, FALSE), "Unknown")</f>
        <v>Corporate</v>
      </c>
      <c r="N444" t="str">
        <f>VLOOKUP(E444, Sales_Reps!A:C, 3, FALSE)</f>
        <v>South</v>
      </c>
      <c r="O444">
        <f>VLOOKUP(D444, Products!A:D, 4, FALSE)</f>
        <v>861</v>
      </c>
      <c r="P444">
        <f>IFERROR(VLOOKUP(C444, Customers!A:C, 3, FALSE), 0)</f>
        <v>48</v>
      </c>
      <c r="Q444">
        <f t="shared" si="6"/>
        <v>0.39790209790209791</v>
      </c>
    </row>
    <row r="445" spans="1:17" x14ac:dyDescent="0.3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  <c r="L445" t="str">
        <f>VLOOKUP(D445, Products!A:C, 3, FALSE)</f>
        <v>Beauty</v>
      </c>
      <c r="M445" t="str">
        <f>IFERROR(VLOOKUP(C445, Customers!A:E, 5, FALSE), "Unknown")</f>
        <v>SMB</v>
      </c>
      <c r="N445" t="str">
        <f>VLOOKUP(E445, Sales_Reps!A:C, 3, FALSE)</f>
        <v>East</v>
      </c>
      <c r="O445">
        <f>VLOOKUP(D445, Products!A:D, 4, FALSE)</f>
        <v>1626</v>
      </c>
      <c r="P445">
        <f>IFERROR(VLOOKUP(C445, Customers!A:C, 3, FALSE), 0)</f>
        <v>44</v>
      </c>
      <c r="Q445">
        <f t="shared" si="6"/>
        <v>0.46158940397350995</v>
      </c>
    </row>
    <row r="446" spans="1:17" x14ac:dyDescent="0.3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  <c r="L446" t="str">
        <f>VLOOKUP(D446, Products!A:C, 3, FALSE)</f>
        <v>Electronics</v>
      </c>
      <c r="M446" t="str">
        <f>IFERROR(VLOOKUP(C446, Customers!A:E, 5, FALSE), "Unknown")</f>
        <v>Unknown</v>
      </c>
      <c r="N446" t="str">
        <f>VLOOKUP(E446, Sales_Reps!A:C, 3, FALSE)</f>
        <v>North</v>
      </c>
      <c r="O446">
        <f>VLOOKUP(D446, Products!A:D, 4, FALSE)</f>
        <v>1259</v>
      </c>
      <c r="P446">
        <f>IFERROR(VLOOKUP(C446, Customers!A:C, 3, FALSE), 0)</f>
        <v>0</v>
      </c>
      <c r="Q446">
        <f t="shared" si="6"/>
        <v>0.52669172932330832</v>
      </c>
    </row>
    <row r="447" spans="1:17" x14ac:dyDescent="0.3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  <c r="L447" t="str">
        <f>VLOOKUP(D447, Products!A:C, 3, FALSE)</f>
        <v>Electronics</v>
      </c>
      <c r="M447" t="str">
        <f>IFERROR(VLOOKUP(C447, Customers!A:E, 5, FALSE), "Unknown")</f>
        <v>Retail</v>
      </c>
      <c r="N447" t="str">
        <f>VLOOKUP(E447, Sales_Reps!A:C, 3, FALSE)</f>
        <v>East</v>
      </c>
      <c r="O447">
        <f>VLOOKUP(D447, Products!A:D, 4, FALSE)</f>
        <v>1665</v>
      </c>
      <c r="P447">
        <f>IFERROR(VLOOKUP(C447, Customers!A:C, 3, FALSE), 0)</f>
        <v>31</v>
      </c>
      <c r="Q447">
        <f t="shared" si="6"/>
        <v>0.53361344537815125</v>
      </c>
    </row>
    <row r="448" spans="1:17" x14ac:dyDescent="0.3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  <c r="L448" t="str">
        <f>VLOOKUP(D448, Products!A:C, 3, FALSE)</f>
        <v>Beauty</v>
      </c>
      <c r="M448" t="str">
        <f>IFERROR(VLOOKUP(C448, Customers!A:E, 5, FALSE), "Unknown")</f>
        <v>Corporate</v>
      </c>
      <c r="N448" t="str">
        <f>VLOOKUP(E448, Sales_Reps!A:C, 3, FALSE)</f>
        <v>South</v>
      </c>
      <c r="O448">
        <f>VLOOKUP(D448, Products!A:D, 4, FALSE)</f>
        <v>1728</v>
      </c>
      <c r="P448">
        <f>IFERROR(VLOOKUP(C448, Customers!A:C, 3, FALSE), 0)</f>
        <v>47</v>
      </c>
      <c r="Q448">
        <f t="shared" si="6"/>
        <v>0.48417910447761192</v>
      </c>
    </row>
    <row r="449" spans="1:17" x14ac:dyDescent="0.3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  <c r="L449" t="str">
        <f>VLOOKUP(D449, Products!A:C, 3, FALSE)</f>
        <v>Apparel</v>
      </c>
      <c r="M449" t="str">
        <f>IFERROR(VLOOKUP(C449, Customers!A:E, 5, FALSE), "Unknown")</f>
        <v>Corporate</v>
      </c>
      <c r="N449" t="str">
        <f>VLOOKUP(E449, Sales_Reps!A:C, 3, FALSE)</f>
        <v>East</v>
      </c>
      <c r="O449">
        <f>VLOOKUP(D449, Products!A:D, 4, FALSE)</f>
        <v>1173</v>
      </c>
      <c r="P449">
        <f>IFERROR(VLOOKUP(C449, Customers!A:C, 3, FALSE), 0)</f>
        <v>46</v>
      </c>
      <c r="Q449">
        <f t="shared" si="6"/>
        <v>0.52701612903225803</v>
      </c>
    </row>
    <row r="450" spans="1:17" x14ac:dyDescent="0.3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  <c r="L450" t="str">
        <f>VLOOKUP(D450, Products!A:C, 3, FALSE)</f>
        <v>Sports</v>
      </c>
      <c r="M450" t="str">
        <f>IFERROR(VLOOKUP(C450, Customers!A:E, 5, FALSE), "Unknown")</f>
        <v>SMB</v>
      </c>
      <c r="N450" t="str">
        <f>VLOOKUP(E450, Sales_Reps!A:C, 3, FALSE)</f>
        <v>South</v>
      </c>
      <c r="O450">
        <f>VLOOKUP(D450, Products!A:D, 4, FALSE)</f>
        <v>2265</v>
      </c>
      <c r="P450">
        <f>IFERROR(VLOOKUP(C450, Customers!A:C, 3, FALSE), 0)</f>
        <v>38</v>
      </c>
      <c r="Q450">
        <f t="shared" si="6"/>
        <v>0.58133086876155271</v>
      </c>
    </row>
    <row r="451" spans="1:17" x14ac:dyDescent="0.3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  <c r="L451" t="str">
        <f>VLOOKUP(D451, Products!A:C, 3, FALSE)</f>
        <v>Home</v>
      </c>
      <c r="M451" t="str">
        <f>IFERROR(VLOOKUP(C451, Customers!A:E, 5, FALSE), "Unknown")</f>
        <v>Retail</v>
      </c>
      <c r="N451" t="str">
        <f>VLOOKUP(E451, Sales_Reps!A:C, 3, FALSE)</f>
        <v>East</v>
      </c>
      <c r="O451">
        <f>VLOOKUP(D451, Products!A:D, 4, FALSE)</f>
        <v>329</v>
      </c>
      <c r="P451">
        <f>IFERROR(VLOOKUP(C451, Customers!A:C, 3, FALSE), 0)</f>
        <v>47</v>
      </c>
      <c r="Q451">
        <f t="shared" ref="Q451:Q514" si="7">(G451 - O451) / G451</f>
        <v>0.50151515151515147</v>
      </c>
    </row>
    <row r="452" spans="1:17" x14ac:dyDescent="0.3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  <c r="L452" t="str">
        <f>VLOOKUP(D452, Products!A:C, 3, FALSE)</f>
        <v>Sports</v>
      </c>
      <c r="M452" t="str">
        <f>IFERROR(VLOOKUP(C452, Customers!A:E, 5, FALSE), "Unknown")</f>
        <v>Corporate</v>
      </c>
      <c r="N452" t="str">
        <f>VLOOKUP(E452, Sales_Reps!A:C, 3, FALSE)</f>
        <v>North</v>
      </c>
      <c r="O452">
        <f>VLOOKUP(D452, Products!A:D, 4, FALSE)</f>
        <v>516</v>
      </c>
      <c r="P452">
        <f>IFERROR(VLOOKUP(C452, Customers!A:C, 3, FALSE), 0)</f>
        <v>62</v>
      </c>
      <c r="Q452">
        <f t="shared" si="7"/>
        <v>0.4891089108910891</v>
      </c>
    </row>
    <row r="453" spans="1:17" x14ac:dyDescent="0.3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  <c r="L453" t="str">
        <f>VLOOKUP(D453, Products!A:C, 3, FALSE)</f>
        <v>Beauty</v>
      </c>
      <c r="M453" t="str">
        <f>IFERROR(VLOOKUP(C453, Customers!A:E, 5, FALSE), "Unknown")</f>
        <v>Retail</v>
      </c>
      <c r="N453" t="str">
        <f>VLOOKUP(E453, Sales_Reps!A:C, 3, FALSE)</f>
        <v>North</v>
      </c>
      <c r="O453">
        <f>VLOOKUP(D453, Products!A:D, 4, FALSE)</f>
        <v>1219</v>
      </c>
      <c r="P453">
        <f>IFERROR(VLOOKUP(C453, Customers!A:C, 3, FALSE), 0)</f>
        <v>57</v>
      </c>
      <c r="Q453">
        <f t="shared" si="7"/>
        <v>0.46768558951965067</v>
      </c>
    </row>
    <row r="454" spans="1:17" x14ac:dyDescent="0.3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  <c r="L454" t="str">
        <f>VLOOKUP(D454, Products!A:C, 3, FALSE)</f>
        <v>Beauty</v>
      </c>
      <c r="M454" t="str">
        <f>IFERROR(VLOOKUP(C454, Customers!A:E, 5, FALSE), "Unknown")</f>
        <v>Retail</v>
      </c>
      <c r="N454" t="str">
        <f>VLOOKUP(E454, Sales_Reps!A:C, 3, FALSE)</f>
        <v>North</v>
      </c>
      <c r="O454">
        <f>VLOOKUP(D454, Products!A:D, 4, FALSE)</f>
        <v>2420</v>
      </c>
      <c r="P454">
        <f>IFERROR(VLOOKUP(C454, Customers!A:C, 3, FALSE), 0)</f>
        <v>24</v>
      </c>
      <c r="Q454">
        <f t="shared" si="7"/>
        <v>0.29855072463768118</v>
      </c>
    </row>
    <row r="455" spans="1:17" x14ac:dyDescent="0.3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  <c r="L455" t="str">
        <f>VLOOKUP(D455, Products!A:C, 3, FALSE)</f>
        <v>Apparel</v>
      </c>
      <c r="M455" t="str">
        <f>IFERROR(VLOOKUP(C455, Customers!A:E, 5, FALSE), "Unknown")</f>
        <v>Retail</v>
      </c>
      <c r="N455" t="str">
        <f>VLOOKUP(E455, Sales_Reps!A:C, 3, FALSE)</f>
        <v>North</v>
      </c>
      <c r="O455">
        <f>VLOOKUP(D455, Products!A:D, 4, FALSE)</f>
        <v>2611</v>
      </c>
      <c r="P455">
        <f>IFERROR(VLOOKUP(C455, Customers!A:C, 3, FALSE), 0)</f>
        <v>38</v>
      </c>
      <c r="Q455">
        <f t="shared" si="7"/>
        <v>0.28269230769230769</v>
      </c>
    </row>
    <row r="456" spans="1:17" x14ac:dyDescent="0.3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  <c r="L456" t="str">
        <f>VLOOKUP(D456, Products!A:C, 3, FALSE)</f>
        <v>Grocery</v>
      </c>
      <c r="M456" t="str">
        <f>IFERROR(VLOOKUP(C456, Customers!A:E, 5, FALSE), "Unknown")</f>
        <v>Corporate</v>
      </c>
      <c r="N456" t="str">
        <f>VLOOKUP(E456, Sales_Reps!A:C, 3, FALSE)</f>
        <v>South</v>
      </c>
      <c r="O456">
        <f>VLOOKUP(D456, Products!A:D, 4, FALSE)</f>
        <v>1182</v>
      </c>
      <c r="P456">
        <f>IFERROR(VLOOKUP(C456, Customers!A:C, 3, FALSE), 0)</f>
        <v>62</v>
      </c>
      <c r="Q456">
        <f t="shared" si="7"/>
        <v>0.50336134453781511</v>
      </c>
    </row>
    <row r="457" spans="1:17" x14ac:dyDescent="0.3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  <c r="L457" t="str">
        <f>VLOOKUP(D457, Products!A:C, 3, FALSE)</f>
        <v>Sports</v>
      </c>
      <c r="M457" t="str">
        <f>IFERROR(VLOOKUP(C457, Customers!A:E, 5, FALSE), "Unknown")</f>
        <v>Retail</v>
      </c>
      <c r="N457" t="str">
        <f>VLOOKUP(E457, Sales_Reps!A:C, 3, FALSE)</f>
        <v>East</v>
      </c>
      <c r="O457">
        <f>VLOOKUP(D457, Products!A:D, 4, FALSE)</f>
        <v>2265</v>
      </c>
      <c r="P457">
        <f>IFERROR(VLOOKUP(C457, Customers!A:C, 3, FALSE), 0)</f>
        <v>38</v>
      </c>
      <c r="Q457">
        <f t="shared" si="7"/>
        <v>0.58133086876155271</v>
      </c>
    </row>
    <row r="458" spans="1:17" x14ac:dyDescent="0.3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  <c r="L458" t="str">
        <f>VLOOKUP(D458, Products!A:C, 3, FALSE)</f>
        <v>Beauty</v>
      </c>
      <c r="M458" t="str">
        <f>IFERROR(VLOOKUP(C458, Customers!A:E, 5, FALSE), "Unknown")</f>
        <v>Corporate</v>
      </c>
      <c r="N458" t="str">
        <f>VLOOKUP(E458, Sales_Reps!A:C, 3, FALSE)</f>
        <v>East</v>
      </c>
      <c r="O458">
        <f>VLOOKUP(D458, Products!A:D, 4, FALSE)</f>
        <v>1222</v>
      </c>
      <c r="P458">
        <f>IFERROR(VLOOKUP(C458, Customers!A:C, 3, FALSE), 0)</f>
        <v>62</v>
      </c>
      <c r="Q458">
        <f t="shared" si="7"/>
        <v>0.2593939393939394</v>
      </c>
    </row>
    <row r="459" spans="1:17" x14ac:dyDescent="0.3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  <c r="L459" t="str">
        <f>VLOOKUP(D459, Products!A:C, 3, FALSE)</f>
        <v>Electronics</v>
      </c>
      <c r="M459" t="str">
        <f>IFERROR(VLOOKUP(C459, Customers!A:E, 5, FALSE), "Unknown")</f>
        <v>Retail</v>
      </c>
      <c r="N459" t="str">
        <f>VLOOKUP(E459, Sales_Reps!A:C, 3, FALSE)</f>
        <v>East</v>
      </c>
      <c r="O459">
        <f>VLOOKUP(D459, Products!A:D, 4, FALSE)</f>
        <v>1052</v>
      </c>
      <c r="P459">
        <f>IFERROR(VLOOKUP(C459, Customers!A:C, 3, FALSE), 0)</f>
        <v>22</v>
      </c>
      <c r="Q459">
        <f t="shared" si="7"/>
        <v>0.5953846153846154</v>
      </c>
    </row>
    <row r="460" spans="1:17" x14ac:dyDescent="0.3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  <c r="L460" t="str">
        <f>VLOOKUP(D460, Products!A:C, 3, FALSE)</f>
        <v>Home</v>
      </c>
      <c r="M460" t="str">
        <f>IFERROR(VLOOKUP(C460, Customers!A:E, 5, FALSE), "Unknown")</f>
        <v>SMB</v>
      </c>
      <c r="N460" t="str">
        <f>VLOOKUP(E460, Sales_Reps!A:C, 3, FALSE)</f>
        <v>North</v>
      </c>
      <c r="O460">
        <f>VLOOKUP(D460, Products!A:D, 4, FALSE)</f>
        <v>1850</v>
      </c>
      <c r="P460">
        <f>IFERROR(VLOOKUP(C460, Customers!A:C, 3, FALSE), 0)</f>
        <v>28</v>
      </c>
      <c r="Q460">
        <f t="shared" si="7"/>
        <v>0.59869848156182215</v>
      </c>
    </row>
    <row r="461" spans="1:17" x14ac:dyDescent="0.3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  <c r="L461" t="str">
        <f>VLOOKUP(D461, Products!A:C, 3, FALSE)</f>
        <v>Home</v>
      </c>
      <c r="M461" t="str">
        <f>IFERROR(VLOOKUP(C461, Customers!A:E, 5, FALSE), "Unknown")</f>
        <v>Retail</v>
      </c>
      <c r="N461" t="str">
        <f>VLOOKUP(E461, Sales_Reps!A:C, 3, FALSE)</f>
        <v>East</v>
      </c>
      <c r="O461">
        <f>VLOOKUP(D461, Products!A:D, 4, FALSE)</f>
        <v>1850</v>
      </c>
      <c r="P461">
        <f>IFERROR(VLOOKUP(C461, Customers!A:C, 3, FALSE), 0)</f>
        <v>53</v>
      </c>
      <c r="Q461">
        <f t="shared" si="7"/>
        <v>0.59869848156182215</v>
      </c>
    </row>
    <row r="462" spans="1:17" x14ac:dyDescent="0.3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  <c r="L462" t="str">
        <f>VLOOKUP(D462, Products!A:C, 3, FALSE)</f>
        <v>Electronics</v>
      </c>
      <c r="M462" t="str">
        <f>IFERROR(VLOOKUP(C462, Customers!A:E, 5, FALSE), "Unknown")</f>
        <v>Corporate</v>
      </c>
      <c r="N462" t="str">
        <f>VLOOKUP(E462, Sales_Reps!A:C, 3, FALSE)</f>
        <v>South</v>
      </c>
      <c r="O462">
        <f>VLOOKUP(D462, Products!A:D, 4, FALSE)</f>
        <v>128</v>
      </c>
      <c r="P462">
        <f>IFERROR(VLOOKUP(C462, Customers!A:C, 3, FALSE), 0)</f>
        <v>44</v>
      </c>
      <c r="Q462">
        <f t="shared" si="7"/>
        <v>0.57333333333333336</v>
      </c>
    </row>
    <row r="463" spans="1:17" x14ac:dyDescent="0.3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  <c r="L463" t="str">
        <f>VLOOKUP(D463, Products!A:C, 3, FALSE)</f>
        <v>Apparel</v>
      </c>
      <c r="M463" t="str">
        <f>IFERROR(VLOOKUP(C463, Customers!A:E, 5, FALSE), "Unknown")</f>
        <v>Retail</v>
      </c>
      <c r="N463" t="str">
        <f>VLOOKUP(E463, Sales_Reps!A:C, 3, FALSE)</f>
        <v>East</v>
      </c>
      <c r="O463">
        <f>VLOOKUP(D463, Products!A:D, 4, FALSE)</f>
        <v>1748</v>
      </c>
      <c r="P463">
        <f>IFERROR(VLOOKUP(C463, Customers!A:C, 3, FALSE), 0)</f>
        <v>22</v>
      </c>
      <c r="Q463">
        <f t="shared" si="7"/>
        <v>0.49333333333333335</v>
      </c>
    </row>
    <row r="464" spans="1:17" x14ac:dyDescent="0.3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  <c r="L464" t="str">
        <f>VLOOKUP(D464, Products!A:C, 3, FALSE)</f>
        <v>Apparel</v>
      </c>
      <c r="M464" t="str">
        <f>IFERROR(VLOOKUP(C464, Customers!A:E, 5, FALSE), "Unknown")</f>
        <v>Corporate</v>
      </c>
      <c r="N464" t="str">
        <f>VLOOKUP(E464, Sales_Reps!A:C, 3, FALSE)</f>
        <v>West</v>
      </c>
      <c r="O464">
        <f>VLOOKUP(D464, Products!A:D, 4, FALSE)</f>
        <v>1962</v>
      </c>
      <c r="P464">
        <f>IFERROR(VLOOKUP(C464, Customers!A:C, 3, FALSE), 0)</f>
        <v>30</v>
      </c>
      <c r="Q464">
        <f t="shared" si="7"/>
        <v>0.2786764705882353</v>
      </c>
    </row>
    <row r="465" spans="1:17" x14ac:dyDescent="0.3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  <c r="L465" t="str">
        <f>VLOOKUP(D465, Products!A:C, 3, FALSE)</f>
        <v>Electronics</v>
      </c>
      <c r="M465" t="str">
        <f>IFERROR(VLOOKUP(C465, Customers!A:E, 5, FALSE), "Unknown")</f>
        <v>Retail</v>
      </c>
      <c r="N465" t="str">
        <f>VLOOKUP(E465, Sales_Reps!A:C, 3, FALSE)</f>
        <v>East</v>
      </c>
      <c r="O465">
        <f>VLOOKUP(D465, Products!A:D, 4, FALSE)</f>
        <v>1259</v>
      </c>
      <c r="P465">
        <f>IFERROR(VLOOKUP(C465, Customers!A:C, 3, FALSE), 0)</f>
        <v>31</v>
      </c>
      <c r="Q465">
        <f t="shared" si="7"/>
        <v>0.52669172932330832</v>
      </c>
    </row>
    <row r="466" spans="1:17" x14ac:dyDescent="0.3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  <c r="L466" t="str">
        <f>VLOOKUP(D466, Products!A:C, 3, FALSE)</f>
        <v>Sports</v>
      </c>
      <c r="M466" t="str">
        <f>IFERROR(VLOOKUP(C466, Customers!A:E, 5, FALSE), "Unknown")</f>
        <v>Retail</v>
      </c>
      <c r="N466" t="str">
        <f>VLOOKUP(E466, Sales_Reps!A:C, 3, FALSE)</f>
        <v>North</v>
      </c>
      <c r="O466">
        <f>VLOOKUP(D466, Products!A:D, 4, FALSE)</f>
        <v>2467</v>
      </c>
      <c r="P466">
        <f>IFERROR(VLOOKUP(C466, Customers!A:C, 3, FALSE), 0)</f>
        <v>53</v>
      </c>
      <c r="Q466">
        <f t="shared" si="7"/>
        <v>0.28492753623188405</v>
      </c>
    </row>
    <row r="467" spans="1:17" x14ac:dyDescent="0.3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  <c r="L467" t="str">
        <f>VLOOKUP(D467, Products!A:C, 3, FALSE)</f>
        <v>Sports</v>
      </c>
      <c r="M467" t="str">
        <f>IFERROR(VLOOKUP(C467, Customers!A:E, 5, FALSE), "Unknown")</f>
        <v>Corporate</v>
      </c>
      <c r="N467" t="str">
        <f>VLOOKUP(E467, Sales_Reps!A:C, 3, FALSE)</f>
        <v>South</v>
      </c>
      <c r="O467">
        <f>VLOOKUP(D467, Products!A:D, 4, FALSE)</f>
        <v>2265</v>
      </c>
      <c r="P467">
        <f>IFERROR(VLOOKUP(C467, Customers!A:C, 3, FALSE), 0)</f>
        <v>52</v>
      </c>
      <c r="Q467">
        <f t="shared" si="7"/>
        <v>0.58133086876155271</v>
      </c>
    </row>
    <row r="468" spans="1:17" x14ac:dyDescent="0.3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  <c r="L468" t="str">
        <f>VLOOKUP(D468, Products!A:C, 3, FALSE)</f>
        <v>Electronics</v>
      </c>
      <c r="M468" t="str">
        <f>IFERROR(VLOOKUP(C468, Customers!A:E, 5, FALSE), "Unknown")</f>
        <v>Corporate</v>
      </c>
      <c r="N468" t="str">
        <f>VLOOKUP(E468, Sales_Reps!A:C, 3, FALSE)</f>
        <v>South</v>
      </c>
      <c r="O468">
        <f>VLOOKUP(D468, Products!A:D, 4, FALSE)</f>
        <v>1559</v>
      </c>
      <c r="P468">
        <f>IFERROR(VLOOKUP(C468, Customers!A:C, 3, FALSE), 0)</f>
        <v>30</v>
      </c>
      <c r="Q468">
        <f t="shared" si="7"/>
        <v>0.59715762273901807</v>
      </c>
    </row>
    <row r="469" spans="1:17" x14ac:dyDescent="0.3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  <c r="L469" t="str">
        <f>VLOOKUP(D469, Products!A:C, 3, FALSE)</f>
        <v>Grocery</v>
      </c>
      <c r="M469" t="str">
        <f>IFERROR(VLOOKUP(C469, Customers!A:E, 5, FALSE), "Unknown")</f>
        <v>SMB</v>
      </c>
      <c r="N469" t="str">
        <f>VLOOKUP(E469, Sales_Reps!A:C, 3, FALSE)</f>
        <v>North</v>
      </c>
      <c r="O469">
        <f>VLOOKUP(D469, Products!A:D, 4, FALSE)</f>
        <v>1203</v>
      </c>
      <c r="P469">
        <f>IFERROR(VLOOKUP(C469, Customers!A:C, 3, FALSE), 0)</f>
        <v>60</v>
      </c>
      <c r="Q469">
        <f t="shared" si="7"/>
        <v>0.47004405286343615</v>
      </c>
    </row>
    <row r="470" spans="1:17" x14ac:dyDescent="0.3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  <c r="L470" t="str">
        <f>VLOOKUP(D470, Products!A:C, 3, FALSE)</f>
        <v>Electronics</v>
      </c>
      <c r="M470" t="str">
        <f>IFERROR(VLOOKUP(C470, Customers!A:E, 5, FALSE), "Unknown")</f>
        <v>Retail</v>
      </c>
      <c r="N470" t="str">
        <f>VLOOKUP(E470, Sales_Reps!A:C, 3, FALSE)</f>
        <v>West</v>
      </c>
      <c r="O470">
        <f>VLOOKUP(D470, Products!A:D, 4, FALSE)</f>
        <v>2405</v>
      </c>
      <c r="P470">
        <f>IFERROR(VLOOKUP(C470, Customers!A:C, 3, FALSE), 0)</f>
        <v>46</v>
      </c>
      <c r="Q470">
        <f t="shared" si="7"/>
        <v>0.54878048780487809</v>
      </c>
    </row>
    <row r="471" spans="1:17" x14ac:dyDescent="0.3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  <c r="L471" t="str">
        <f>VLOOKUP(D471, Products!A:C, 3, FALSE)</f>
        <v>Beauty</v>
      </c>
      <c r="M471" t="str">
        <f>IFERROR(VLOOKUP(C471, Customers!A:E, 5, FALSE), "Unknown")</f>
        <v>Corporate</v>
      </c>
      <c r="N471" t="str">
        <f>VLOOKUP(E471, Sales_Reps!A:C, 3, FALSE)</f>
        <v>South</v>
      </c>
      <c r="O471">
        <f>VLOOKUP(D471, Products!A:D, 4, FALSE)</f>
        <v>1728</v>
      </c>
      <c r="P471">
        <f>IFERROR(VLOOKUP(C471, Customers!A:C, 3, FALSE), 0)</f>
        <v>57</v>
      </c>
      <c r="Q471">
        <f t="shared" si="7"/>
        <v>0.48417910447761192</v>
      </c>
    </row>
    <row r="472" spans="1:17" x14ac:dyDescent="0.3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  <c r="L472" t="str">
        <f>VLOOKUP(D472, Products!A:C, 3, FALSE)</f>
        <v>Beauty</v>
      </c>
      <c r="M472" t="str">
        <f>IFERROR(VLOOKUP(C472, Customers!A:E, 5, FALSE), "Unknown")</f>
        <v>Retail</v>
      </c>
      <c r="N472" t="str">
        <f>VLOOKUP(E472, Sales_Reps!A:C, 3, FALSE)</f>
        <v>North</v>
      </c>
      <c r="O472">
        <f>VLOOKUP(D472, Products!A:D, 4, FALSE)</f>
        <v>1626</v>
      </c>
      <c r="P472">
        <f>IFERROR(VLOOKUP(C472, Customers!A:C, 3, FALSE), 0)</f>
        <v>32</v>
      </c>
      <c r="Q472">
        <f t="shared" si="7"/>
        <v>0.46158940397350995</v>
      </c>
    </row>
    <row r="473" spans="1:17" x14ac:dyDescent="0.3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  <c r="L473" t="str">
        <f>VLOOKUP(D473, Products!A:C, 3, FALSE)</f>
        <v>Apparel</v>
      </c>
      <c r="M473" t="str">
        <f>IFERROR(VLOOKUP(C473, Customers!A:E, 5, FALSE), "Unknown")</f>
        <v>SMB</v>
      </c>
      <c r="N473" t="str">
        <f>VLOOKUP(E473, Sales_Reps!A:C, 3, FALSE)</f>
        <v>East</v>
      </c>
      <c r="O473">
        <f>VLOOKUP(D473, Products!A:D, 4, FALSE)</f>
        <v>1886</v>
      </c>
      <c r="P473">
        <f>IFERROR(VLOOKUP(C473, Customers!A:C, 3, FALSE), 0)</f>
        <v>61</v>
      </c>
      <c r="Q473">
        <f t="shared" si="7"/>
        <v>0.4031645569620253</v>
      </c>
    </row>
    <row r="474" spans="1:17" x14ac:dyDescent="0.3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  <c r="L474" t="str">
        <f>VLOOKUP(D474, Products!A:C, 3, FALSE)</f>
        <v>Sports</v>
      </c>
      <c r="M474" t="str">
        <f>IFERROR(VLOOKUP(C474, Customers!A:E, 5, FALSE), "Unknown")</f>
        <v>Retail</v>
      </c>
      <c r="N474" t="str">
        <f>VLOOKUP(E474, Sales_Reps!A:C, 3, FALSE)</f>
        <v>East</v>
      </c>
      <c r="O474">
        <f>VLOOKUP(D474, Products!A:D, 4, FALSE)</f>
        <v>302</v>
      </c>
      <c r="P474">
        <f>IFERROR(VLOOKUP(C474, Customers!A:C, 3, FALSE), 0)</f>
        <v>35</v>
      </c>
      <c r="Q474">
        <f t="shared" si="7"/>
        <v>0.35744680851063831</v>
      </c>
    </row>
    <row r="475" spans="1:17" x14ac:dyDescent="0.3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  <c r="L475" t="str">
        <f>VLOOKUP(D475, Products!A:C, 3, FALSE)</f>
        <v>Home</v>
      </c>
      <c r="M475" t="str">
        <f>IFERROR(VLOOKUP(C475, Customers!A:E, 5, FALSE), "Unknown")</f>
        <v>Retail</v>
      </c>
      <c r="N475" t="str">
        <f>VLOOKUP(E475, Sales_Reps!A:C, 3, FALSE)</f>
        <v>East</v>
      </c>
      <c r="O475">
        <f>VLOOKUP(D475, Products!A:D, 4, FALSE)</f>
        <v>1556</v>
      </c>
      <c r="P475">
        <f>IFERROR(VLOOKUP(C475, Customers!A:C, 3, FALSE), 0)</f>
        <v>37</v>
      </c>
      <c r="Q475">
        <f t="shared" si="7"/>
        <v>0.52123076923076928</v>
      </c>
    </row>
    <row r="476" spans="1:17" x14ac:dyDescent="0.3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  <c r="L476" t="str">
        <f>VLOOKUP(D476, Products!A:C, 3, FALSE)</f>
        <v>Sports</v>
      </c>
      <c r="M476" t="str">
        <f>IFERROR(VLOOKUP(C476, Customers!A:E, 5, FALSE), "Unknown")</f>
        <v>SMB</v>
      </c>
      <c r="N476" t="str">
        <f>VLOOKUP(E476, Sales_Reps!A:C, 3, FALSE)</f>
        <v>East</v>
      </c>
      <c r="O476">
        <f>VLOOKUP(D476, Products!A:D, 4, FALSE)</f>
        <v>516</v>
      </c>
      <c r="P476">
        <f>IFERROR(VLOOKUP(C476, Customers!A:C, 3, FALSE), 0)</f>
        <v>54</v>
      </c>
      <c r="Q476">
        <f t="shared" si="7"/>
        <v>0.4891089108910891</v>
      </c>
    </row>
    <row r="477" spans="1:17" x14ac:dyDescent="0.3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  <c r="L477" t="str">
        <f>VLOOKUP(D477, Products!A:C, 3, FALSE)</f>
        <v>Electronics</v>
      </c>
      <c r="M477" t="str">
        <f>IFERROR(VLOOKUP(C477, Customers!A:E, 5, FALSE), "Unknown")</f>
        <v>SMB</v>
      </c>
      <c r="N477" t="str">
        <f>VLOOKUP(E477, Sales_Reps!A:C, 3, FALSE)</f>
        <v>North</v>
      </c>
      <c r="O477">
        <f>VLOOKUP(D477, Products!A:D, 4, FALSE)</f>
        <v>128</v>
      </c>
      <c r="P477">
        <f>IFERROR(VLOOKUP(C477, Customers!A:C, 3, FALSE), 0)</f>
        <v>43</v>
      </c>
      <c r="Q477">
        <f t="shared" si="7"/>
        <v>0.57333333333333336</v>
      </c>
    </row>
    <row r="478" spans="1:17" x14ac:dyDescent="0.3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  <c r="L478" t="str">
        <f>VLOOKUP(D478, Products!A:C, 3, FALSE)</f>
        <v>Beauty</v>
      </c>
      <c r="M478" t="str">
        <f>IFERROR(VLOOKUP(C478, Customers!A:E, 5, FALSE), "Unknown")</f>
        <v>Corporate</v>
      </c>
      <c r="N478" t="str">
        <f>VLOOKUP(E478, Sales_Reps!A:C, 3, FALSE)</f>
        <v>North</v>
      </c>
      <c r="O478">
        <f>VLOOKUP(D478, Products!A:D, 4, FALSE)</f>
        <v>2237</v>
      </c>
      <c r="P478">
        <f>IFERROR(VLOOKUP(C478, Customers!A:C, 3, FALSE), 0)</f>
        <v>52</v>
      </c>
      <c r="Q478">
        <f t="shared" si="7"/>
        <v>0.56137254901960787</v>
      </c>
    </row>
    <row r="479" spans="1:17" x14ac:dyDescent="0.3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  <c r="L479" t="str">
        <f>VLOOKUP(D479, Products!A:C, 3, FALSE)</f>
        <v>Beauty</v>
      </c>
      <c r="M479" t="str">
        <f>IFERROR(VLOOKUP(C479, Customers!A:E, 5, FALSE), "Unknown")</f>
        <v>Retail</v>
      </c>
      <c r="N479" t="str">
        <f>VLOOKUP(E479, Sales_Reps!A:C, 3, FALSE)</f>
        <v>West</v>
      </c>
      <c r="O479">
        <f>VLOOKUP(D479, Products!A:D, 4, FALSE)</f>
        <v>1728</v>
      </c>
      <c r="P479">
        <f>IFERROR(VLOOKUP(C479, Customers!A:C, 3, FALSE), 0)</f>
        <v>31</v>
      </c>
      <c r="Q479">
        <f t="shared" si="7"/>
        <v>0.48417910447761192</v>
      </c>
    </row>
    <row r="480" spans="1:17" x14ac:dyDescent="0.3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  <c r="L480" t="str">
        <f>VLOOKUP(D480, Products!A:C, 3, FALSE)</f>
        <v>Home</v>
      </c>
      <c r="M480" t="str">
        <f>IFERROR(VLOOKUP(C480, Customers!A:E, 5, FALSE), "Unknown")</f>
        <v>Retail</v>
      </c>
      <c r="N480" t="str">
        <f>VLOOKUP(E480, Sales_Reps!A:C, 3, FALSE)</f>
        <v>East</v>
      </c>
      <c r="O480">
        <f>VLOOKUP(D480, Products!A:D, 4, FALSE)</f>
        <v>1556</v>
      </c>
      <c r="P480">
        <f>IFERROR(VLOOKUP(C480, Customers!A:C, 3, FALSE), 0)</f>
        <v>55</v>
      </c>
      <c r="Q480">
        <f t="shared" si="7"/>
        <v>0.52123076923076928</v>
      </c>
    </row>
    <row r="481" spans="1:17" x14ac:dyDescent="0.3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  <c r="L481" t="str">
        <f>VLOOKUP(D481, Products!A:C, 3, FALSE)</f>
        <v>Grocery</v>
      </c>
      <c r="M481" t="str">
        <f>IFERROR(VLOOKUP(C481, Customers!A:E, 5, FALSE), "Unknown")</f>
        <v>Retail</v>
      </c>
      <c r="N481" t="str">
        <f>VLOOKUP(E481, Sales_Reps!A:C, 3, FALSE)</f>
        <v>North</v>
      </c>
      <c r="O481">
        <f>VLOOKUP(D481, Products!A:D, 4, FALSE)</f>
        <v>2214</v>
      </c>
      <c r="P481">
        <f>IFERROR(VLOOKUP(C481, Customers!A:C, 3, FALSE), 0)</f>
        <v>38</v>
      </c>
      <c r="Q481">
        <f t="shared" si="7"/>
        <v>0.39508196721311473</v>
      </c>
    </row>
    <row r="482" spans="1:17" x14ac:dyDescent="0.3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  <c r="L482" t="str">
        <f>VLOOKUP(D482, Products!A:C, 3, FALSE)</f>
        <v>Sports</v>
      </c>
      <c r="M482" t="str">
        <f>IFERROR(VLOOKUP(C482, Customers!A:E, 5, FALSE), "Unknown")</f>
        <v>Retail</v>
      </c>
      <c r="N482" t="str">
        <f>VLOOKUP(E482, Sales_Reps!A:C, 3, FALSE)</f>
        <v>South</v>
      </c>
      <c r="O482">
        <f>VLOOKUP(D482, Products!A:D, 4, FALSE)</f>
        <v>974</v>
      </c>
      <c r="P482">
        <f>IFERROR(VLOOKUP(C482, Customers!A:C, 3, FALSE), 0)</f>
        <v>51</v>
      </c>
      <c r="Q482">
        <f t="shared" si="7"/>
        <v>0.59416666666666662</v>
      </c>
    </row>
    <row r="483" spans="1:17" x14ac:dyDescent="0.3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  <c r="L483" t="str">
        <f>VLOOKUP(D483, Products!A:C, 3, FALSE)</f>
        <v>Home</v>
      </c>
      <c r="M483" t="str">
        <f>IFERROR(VLOOKUP(C483, Customers!A:E, 5, FALSE), "Unknown")</f>
        <v>Corporate</v>
      </c>
      <c r="N483" t="str">
        <f>VLOOKUP(E483, Sales_Reps!A:C, 3, FALSE)</f>
        <v>South</v>
      </c>
      <c r="O483">
        <f>VLOOKUP(D483, Products!A:D, 4, FALSE)</f>
        <v>464</v>
      </c>
      <c r="P483">
        <f>IFERROR(VLOOKUP(C483, Customers!A:C, 3, FALSE), 0)</f>
        <v>31</v>
      </c>
      <c r="Q483">
        <f t="shared" si="7"/>
        <v>0.57431192660550456</v>
      </c>
    </row>
    <row r="484" spans="1:17" x14ac:dyDescent="0.3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  <c r="L484" t="str">
        <f>VLOOKUP(D484, Products!A:C, 3, FALSE)</f>
        <v>Sports</v>
      </c>
      <c r="M484" t="str">
        <f>IFERROR(VLOOKUP(C484, Customers!A:E, 5, FALSE), "Unknown")</f>
        <v>Retail</v>
      </c>
      <c r="N484" t="str">
        <f>VLOOKUP(E484, Sales_Reps!A:C, 3, FALSE)</f>
        <v>South</v>
      </c>
      <c r="O484">
        <f>VLOOKUP(D484, Products!A:D, 4, FALSE)</f>
        <v>1860</v>
      </c>
      <c r="P484">
        <f>IFERROR(VLOOKUP(C484, Customers!A:C, 3, FALSE), 0)</f>
        <v>22</v>
      </c>
      <c r="Q484">
        <f t="shared" si="7"/>
        <v>0.50793650793650791</v>
      </c>
    </row>
    <row r="485" spans="1:17" x14ac:dyDescent="0.3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  <c r="L485" t="str">
        <f>VLOOKUP(D485, Products!A:C, 3, FALSE)</f>
        <v>Beauty</v>
      </c>
      <c r="M485" t="str">
        <f>IFERROR(VLOOKUP(C485, Customers!A:E, 5, FALSE), "Unknown")</f>
        <v>SMB</v>
      </c>
      <c r="N485" t="str">
        <f>VLOOKUP(E485, Sales_Reps!A:C, 3, FALSE)</f>
        <v>East</v>
      </c>
      <c r="O485">
        <f>VLOOKUP(D485, Products!A:D, 4, FALSE)</f>
        <v>1728</v>
      </c>
      <c r="P485">
        <f>IFERROR(VLOOKUP(C485, Customers!A:C, 3, FALSE), 0)</f>
        <v>49</v>
      </c>
      <c r="Q485">
        <f t="shared" si="7"/>
        <v>0.48417910447761192</v>
      </c>
    </row>
    <row r="486" spans="1:17" x14ac:dyDescent="0.3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  <c r="L486" t="str">
        <f>VLOOKUP(D486, Products!A:C, 3, FALSE)</f>
        <v>Home</v>
      </c>
      <c r="M486" t="str">
        <f>IFERROR(VLOOKUP(C486, Customers!A:E, 5, FALSE), "Unknown")</f>
        <v>Corporate</v>
      </c>
      <c r="N486" t="str">
        <f>VLOOKUP(E486, Sales_Reps!A:C, 3, FALSE)</f>
        <v>West</v>
      </c>
      <c r="O486">
        <f>VLOOKUP(D486, Products!A:D, 4, FALSE)</f>
        <v>519</v>
      </c>
      <c r="P486">
        <f>IFERROR(VLOOKUP(C486, Customers!A:C, 3, FALSE), 0)</f>
        <v>57</v>
      </c>
      <c r="Q486">
        <f t="shared" si="7"/>
        <v>0.51944444444444449</v>
      </c>
    </row>
    <row r="487" spans="1:17" x14ac:dyDescent="0.3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  <c r="L487" t="str">
        <f>VLOOKUP(D487, Products!A:C, 3, FALSE)</f>
        <v>Grocery</v>
      </c>
      <c r="M487" t="str">
        <f>IFERROR(VLOOKUP(C487, Customers!A:E, 5, FALSE), "Unknown")</f>
        <v>SMB</v>
      </c>
      <c r="N487" t="str">
        <f>VLOOKUP(E487, Sales_Reps!A:C, 3, FALSE)</f>
        <v>East</v>
      </c>
      <c r="O487">
        <f>VLOOKUP(D487, Products!A:D, 4, FALSE)</f>
        <v>2027</v>
      </c>
      <c r="P487">
        <f>IFERROR(VLOOKUP(C487, Customers!A:C, 3, FALSE), 0)</f>
        <v>57</v>
      </c>
      <c r="Q487">
        <f t="shared" si="7"/>
        <v>0.50196560196560192</v>
      </c>
    </row>
    <row r="488" spans="1:17" x14ac:dyDescent="0.3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  <c r="L488" t="str">
        <f>VLOOKUP(D488, Products!A:C, 3, FALSE)</f>
        <v>Beauty</v>
      </c>
      <c r="M488" t="str">
        <f>IFERROR(VLOOKUP(C488, Customers!A:E, 5, FALSE), "Unknown")</f>
        <v>Retail</v>
      </c>
      <c r="N488" t="str">
        <f>VLOOKUP(E488, Sales_Reps!A:C, 3, FALSE)</f>
        <v>West</v>
      </c>
      <c r="O488">
        <f>VLOOKUP(D488, Products!A:D, 4, FALSE)</f>
        <v>647</v>
      </c>
      <c r="P488">
        <f>IFERROR(VLOOKUP(C488, Customers!A:C, 3, FALSE), 0)</f>
        <v>22</v>
      </c>
      <c r="Q488">
        <f t="shared" si="7"/>
        <v>0.57987012987012987</v>
      </c>
    </row>
    <row r="489" spans="1:17" x14ac:dyDescent="0.3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  <c r="L489" t="str">
        <f>VLOOKUP(D489, Products!A:C, 3, FALSE)</f>
        <v>Grocery</v>
      </c>
      <c r="M489" t="str">
        <f>IFERROR(VLOOKUP(C489, Customers!A:E, 5, FALSE), "Unknown")</f>
        <v>SMB</v>
      </c>
      <c r="N489" t="str">
        <f>VLOOKUP(E489, Sales_Reps!A:C, 3, FALSE)</f>
        <v>West</v>
      </c>
      <c r="O489">
        <f>VLOOKUP(D489, Products!A:D, 4, FALSE)</f>
        <v>1435</v>
      </c>
      <c r="P489">
        <f>IFERROR(VLOOKUP(C489, Customers!A:C, 3, FALSE), 0)</f>
        <v>28</v>
      </c>
      <c r="Q489">
        <f t="shared" si="7"/>
        <v>0.48007246376811596</v>
      </c>
    </row>
    <row r="490" spans="1:17" x14ac:dyDescent="0.3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  <c r="L490" t="str">
        <f>VLOOKUP(D490, Products!A:C, 3, FALSE)</f>
        <v>Electronics</v>
      </c>
      <c r="M490" t="str">
        <f>IFERROR(VLOOKUP(C490, Customers!A:E, 5, FALSE), "Unknown")</f>
        <v>Retail</v>
      </c>
      <c r="N490" t="str">
        <f>VLOOKUP(E490, Sales_Reps!A:C, 3, FALSE)</f>
        <v>East</v>
      </c>
      <c r="O490">
        <f>VLOOKUP(D490, Products!A:D, 4, FALSE)</f>
        <v>2865</v>
      </c>
      <c r="P490">
        <f>IFERROR(VLOOKUP(C490, Customers!A:C, 3, FALSE), 0)</f>
        <v>28</v>
      </c>
      <c r="Q490">
        <f t="shared" si="7"/>
        <v>0.27833753148614609</v>
      </c>
    </row>
    <row r="491" spans="1:17" x14ac:dyDescent="0.3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  <c r="L491" t="str">
        <f>VLOOKUP(D491, Products!A:C, 3, FALSE)</f>
        <v>Apparel</v>
      </c>
      <c r="M491" t="str">
        <f>IFERROR(VLOOKUP(C491, Customers!A:E, 5, FALSE), "Unknown")</f>
        <v>Retail</v>
      </c>
      <c r="N491" t="str">
        <f>VLOOKUP(E491, Sales_Reps!A:C, 3, FALSE)</f>
        <v>East</v>
      </c>
      <c r="O491">
        <f>VLOOKUP(D491, Products!A:D, 4, FALSE)</f>
        <v>1748</v>
      </c>
      <c r="P491">
        <f>IFERROR(VLOOKUP(C491, Customers!A:C, 3, FALSE), 0)</f>
        <v>37</v>
      </c>
      <c r="Q491">
        <f t="shared" si="7"/>
        <v>0.49333333333333335</v>
      </c>
    </row>
    <row r="492" spans="1:17" x14ac:dyDescent="0.3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  <c r="L492" t="str">
        <f>VLOOKUP(D492, Products!A:C, 3, FALSE)</f>
        <v>Apparel</v>
      </c>
      <c r="M492" t="str">
        <f>IFERROR(VLOOKUP(C492, Customers!A:E, 5, FALSE), "Unknown")</f>
        <v>Corporate</v>
      </c>
      <c r="N492" t="str">
        <f>VLOOKUP(E492, Sales_Reps!A:C, 3, FALSE)</f>
        <v>North</v>
      </c>
      <c r="O492">
        <f>VLOOKUP(D492, Products!A:D, 4, FALSE)</f>
        <v>2629</v>
      </c>
      <c r="P492">
        <f>IFERROR(VLOOKUP(C492, Customers!A:C, 3, FALSE), 0)</f>
        <v>36</v>
      </c>
      <c r="Q492">
        <f t="shared" si="7"/>
        <v>0.26151685393258428</v>
      </c>
    </row>
    <row r="493" spans="1:17" x14ac:dyDescent="0.3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  <c r="L493" t="str">
        <f>VLOOKUP(D493, Products!A:C, 3, FALSE)</f>
        <v>Electronics</v>
      </c>
      <c r="M493" t="str">
        <f>IFERROR(VLOOKUP(C493, Customers!A:E, 5, FALSE), "Unknown")</f>
        <v>Corporate</v>
      </c>
      <c r="N493" t="str">
        <f>VLOOKUP(E493, Sales_Reps!A:C, 3, FALSE)</f>
        <v>West</v>
      </c>
      <c r="O493">
        <f>VLOOKUP(D493, Products!A:D, 4, FALSE)</f>
        <v>1665</v>
      </c>
      <c r="P493">
        <f>IFERROR(VLOOKUP(C493, Customers!A:C, 3, FALSE), 0)</f>
        <v>29</v>
      </c>
      <c r="Q493">
        <f t="shared" si="7"/>
        <v>0.53361344537815125</v>
      </c>
    </row>
    <row r="494" spans="1:17" x14ac:dyDescent="0.3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  <c r="L494" t="str">
        <f>VLOOKUP(D494, Products!A:C, 3, FALSE)</f>
        <v>Sports</v>
      </c>
      <c r="M494" t="str">
        <f>IFERROR(VLOOKUP(C494, Customers!A:E, 5, FALSE), "Unknown")</f>
        <v>Retail</v>
      </c>
      <c r="N494" t="str">
        <f>VLOOKUP(E494, Sales_Reps!A:C, 3, FALSE)</f>
        <v>West</v>
      </c>
      <c r="O494">
        <f>VLOOKUP(D494, Products!A:D, 4, FALSE)</f>
        <v>705</v>
      </c>
      <c r="P494">
        <f>IFERROR(VLOOKUP(C494, Customers!A:C, 3, FALSE), 0)</f>
        <v>59</v>
      </c>
      <c r="Q494">
        <f t="shared" si="7"/>
        <v>0.265625</v>
      </c>
    </row>
    <row r="495" spans="1:17" x14ac:dyDescent="0.3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  <c r="L495" t="str">
        <f>VLOOKUP(D495, Products!A:C, 3, FALSE)</f>
        <v>Beauty</v>
      </c>
      <c r="M495" t="str">
        <f>IFERROR(VLOOKUP(C495, Customers!A:E, 5, FALSE), "Unknown")</f>
        <v>Corporate</v>
      </c>
      <c r="N495" t="str">
        <f>VLOOKUP(E495, Sales_Reps!A:C, 3, FALSE)</f>
        <v>South</v>
      </c>
      <c r="O495">
        <f>VLOOKUP(D495, Products!A:D, 4, FALSE)</f>
        <v>2420</v>
      </c>
      <c r="P495">
        <f>IFERROR(VLOOKUP(C495, Customers!A:C, 3, FALSE), 0)</f>
        <v>52</v>
      </c>
      <c r="Q495">
        <f t="shared" si="7"/>
        <v>0.29855072463768118</v>
      </c>
    </row>
    <row r="496" spans="1:17" x14ac:dyDescent="0.3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  <c r="L496" t="str">
        <f>VLOOKUP(D496, Products!A:C, 3, FALSE)</f>
        <v>Beauty</v>
      </c>
      <c r="M496" t="str">
        <f>IFERROR(VLOOKUP(C496, Customers!A:E, 5, FALSE), "Unknown")</f>
        <v>Retail</v>
      </c>
      <c r="N496" t="str">
        <f>VLOOKUP(E496, Sales_Reps!A:C, 3, FALSE)</f>
        <v>South</v>
      </c>
      <c r="O496">
        <f>VLOOKUP(D496, Products!A:D, 4, FALSE)</f>
        <v>1728</v>
      </c>
      <c r="P496">
        <f>IFERROR(VLOOKUP(C496, Customers!A:C, 3, FALSE), 0)</f>
        <v>59</v>
      </c>
      <c r="Q496">
        <f t="shared" si="7"/>
        <v>0.48417910447761192</v>
      </c>
    </row>
    <row r="497" spans="1:17" x14ac:dyDescent="0.3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  <c r="L497" t="str">
        <f>VLOOKUP(D497, Products!A:C, 3, FALSE)</f>
        <v>Beauty</v>
      </c>
      <c r="M497" t="str">
        <f>IFERROR(VLOOKUP(C497, Customers!A:E, 5, FALSE), "Unknown")</f>
        <v>Retail</v>
      </c>
      <c r="N497" t="str">
        <f>VLOOKUP(E497, Sales_Reps!A:C, 3, FALSE)</f>
        <v>North</v>
      </c>
      <c r="O497">
        <f>VLOOKUP(D497, Products!A:D, 4, FALSE)</f>
        <v>675</v>
      </c>
      <c r="P497">
        <f>IFERROR(VLOOKUP(C497, Customers!A:C, 3, FALSE), 0)</f>
        <v>35</v>
      </c>
      <c r="Q497">
        <f t="shared" si="7"/>
        <v>0.296875</v>
      </c>
    </row>
    <row r="498" spans="1:17" x14ac:dyDescent="0.3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  <c r="L498" t="str">
        <f>VLOOKUP(D498, Products!A:C, 3, FALSE)</f>
        <v>Electronics</v>
      </c>
      <c r="M498" t="str">
        <f>IFERROR(VLOOKUP(C498, Customers!A:E, 5, FALSE), "Unknown")</f>
        <v>SMB</v>
      </c>
      <c r="N498" t="str">
        <f>VLOOKUP(E498, Sales_Reps!A:C, 3, FALSE)</f>
        <v>South</v>
      </c>
      <c r="O498">
        <f>VLOOKUP(D498, Products!A:D, 4, FALSE)</f>
        <v>128</v>
      </c>
      <c r="P498">
        <f>IFERROR(VLOOKUP(C498, Customers!A:C, 3, FALSE), 0)</f>
        <v>27</v>
      </c>
      <c r="Q498">
        <f t="shared" si="7"/>
        <v>0.57333333333333336</v>
      </c>
    </row>
    <row r="499" spans="1:17" x14ac:dyDescent="0.3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  <c r="L499" t="str">
        <f>VLOOKUP(D499, Products!A:C, 3, FALSE)</f>
        <v>Grocery</v>
      </c>
      <c r="M499" t="str">
        <f>IFERROR(VLOOKUP(C499, Customers!A:E, 5, FALSE), "Unknown")</f>
        <v>Retail</v>
      </c>
      <c r="N499" t="str">
        <f>VLOOKUP(E499, Sales_Reps!A:C, 3, FALSE)</f>
        <v>East</v>
      </c>
      <c r="O499">
        <f>VLOOKUP(D499, Products!A:D, 4, FALSE)</f>
        <v>1182</v>
      </c>
      <c r="P499">
        <f>IFERROR(VLOOKUP(C499, Customers!A:C, 3, FALSE), 0)</f>
        <v>38</v>
      </c>
      <c r="Q499">
        <f t="shared" si="7"/>
        <v>0.50336134453781511</v>
      </c>
    </row>
    <row r="500" spans="1:17" x14ac:dyDescent="0.3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  <c r="L500" t="str">
        <f>VLOOKUP(D500, Products!A:C, 3, FALSE)</f>
        <v>Sports</v>
      </c>
      <c r="M500" t="str">
        <f>IFERROR(VLOOKUP(C500, Customers!A:E, 5, FALSE), "Unknown")</f>
        <v>Retail</v>
      </c>
      <c r="N500" t="str">
        <f>VLOOKUP(E500, Sales_Reps!A:C, 3, FALSE)</f>
        <v>West</v>
      </c>
      <c r="O500">
        <f>VLOOKUP(D500, Products!A:D, 4, FALSE)</f>
        <v>705</v>
      </c>
      <c r="P500">
        <f>IFERROR(VLOOKUP(C500, Customers!A:C, 3, FALSE), 0)</f>
        <v>29</v>
      </c>
      <c r="Q500">
        <f t="shared" si="7"/>
        <v>0.265625</v>
      </c>
    </row>
    <row r="501" spans="1:17" x14ac:dyDescent="0.3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  <c r="L501" t="str">
        <f>VLOOKUP(D501, Products!A:C, 3, FALSE)</f>
        <v>Sports</v>
      </c>
      <c r="M501" t="str">
        <f>IFERROR(VLOOKUP(C501, Customers!A:E, 5, FALSE), "Unknown")</f>
        <v>SMB</v>
      </c>
      <c r="N501" t="str">
        <f>VLOOKUP(E501, Sales_Reps!A:C, 3, FALSE)</f>
        <v>South</v>
      </c>
      <c r="O501">
        <f>VLOOKUP(D501, Products!A:D, 4, FALSE)</f>
        <v>1860</v>
      </c>
      <c r="P501">
        <f>IFERROR(VLOOKUP(C501, Customers!A:C, 3, FALSE), 0)</f>
        <v>55</v>
      </c>
      <c r="Q501">
        <f t="shared" si="7"/>
        <v>0.50793650793650791</v>
      </c>
    </row>
    <row r="502" spans="1:17" x14ac:dyDescent="0.3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  <c r="L502" t="str">
        <f>VLOOKUP(D502, Products!A:C, 3, FALSE)</f>
        <v>Beauty</v>
      </c>
      <c r="M502" t="str">
        <f>IFERROR(VLOOKUP(C502, Customers!A:E, 5, FALSE), "Unknown")</f>
        <v>Retail</v>
      </c>
      <c r="N502" t="str">
        <f>VLOOKUP(E502, Sales_Reps!A:C, 3, FALSE)</f>
        <v>East</v>
      </c>
      <c r="O502">
        <f>VLOOKUP(D502, Products!A:D, 4, FALSE)</f>
        <v>647</v>
      </c>
      <c r="P502">
        <f>IFERROR(VLOOKUP(C502, Customers!A:C, 3, FALSE), 0)</f>
        <v>51</v>
      </c>
      <c r="Q502">
        <f t="shared" si="7"/>
        <v>0.57987012987012987</v>
      </c>
    </row>
    <row r="503" spans="1:17" x14ac:dyDescent="0.3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  <c r="L503" t="str">
        <f>VLOOKUP(D503, Products!A:C, 3, FALSE)</f>
        <v>Apparel</v>
      </c>
      <c r="M503" t="str">
        <f>IFERROR(VLOOKUP(C503, Customers!A:E, 5, FALSE), "Unknown")</f>
        <v>Retail</v>
      </c>
      <c r="N503" t="str">
        <f>VLOOKUP(E503, Sales_Reps!A:C, 3, FALSE)</f>
        <v>North</v>
      </c>
      <c r="O503">
        <f>VLOOKUP(D503, Products!A:D, 4, FALSE)</f>
        <v>1075</v>
      </c>
      <c r="P503">
        <f>IFERROR(VLOOKUP(C503, Customers!A:C, 3, FALSE), 0)</f>
        <v>52</v>
      </c>
      <c r="Q503">
        <f t="shared" si="7"/>
        <v>0.57171314741035861</v>
      </c>
    </row>
    <row r="504" spans="1:17" x14ac:dyDescent="0.3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  <c r="L504" t="str">
        <f>VLOOKUP(D504, Products!A:C, 3, FALSE)</f>
        <v>Grocery</v>
      </c>
      <c r="M504" t="str">
        <f>IFERROR(VLOOKUP(C504, Customers!A:E, 5, FALSE), "Unknown")</f>
        <v>Retail</v>
      </c>
      <c r="N504" t="str">
        <f>VLOOKUP(E504, Sales_Reps!A:C, 3, FALSE)</f>
        <v>South</v>
      </c>
      <c r="O504">
        <f>VLOOKUP(D504, Products!A:D, 4, FALSE)</f>
        <v>2911</v>
      </c>
      <c r="P504">
        <f>IFERROR(VLOOKUP(C504, Customers!A:C, 3, FALSE), 0)</f>
        <v>44</v>
      </c>
      <c r="Q504">
        <f t="shared" si="7"/>
        <v>0.28300492610837441</v>
      </c>
    </row>
    <row r="505" spans="1:17" x14ac:dyDescent="0.3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  <c r="L505" t="str">
        <f>VLOOKUP(D505, Products!A:C, 3, FALSE)</f>
        <v>Sports</v>
      </c>
      <c r="M505" t="str">
        <f>IFERROR(VLOOKUP(C505, Customers!A:E, 5, FALSE), "Unknown")</f>
        <v>SMB</v>
      </c>
      <c r="N505" t="str">
        <f>VLOOKUP(E505, Sales_Reps!A:C, 3, FALSE)</f>
        <v>West</v>
      </c>
      <c r="O505">
        <f>VLOOKUP(D505, Products!A:D, 4, FALSE)</f>
        <v>974</v>
      </c>
      <c r="P505">
        <f>IFERROR(VLOOKUP(C505, Customers!A:C, 3, FALSE), 0)</f>
        <v>28</v>
      </c>
      <c r="Q505">
        <f t="shared" si="7"/>
        <v>0.59416666666666662</v>
      </c>
    </row>
    <row r="506" spans="1:17" x14ac:dyDescent="0.3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  <c r="L506" t="str">
        <f>VLOOKUP(D506, Products!A:C, 3, FALSE)</f>
        <v>Beauty</v>
      </c>
      <c r="M506" t="str">
        <f>IFERROR(VLOOKUP(C506, Customers!A:E, 5, FALSE), "Unknown")</f>
        <v>Corporate</v>
      </c>
      <c r="N506" t="str">
        <f>VLOOKUP(E506, Sales_Reps!A:C, 3, FALSE)</f>
        <v>East</v>
      </c>
      <c r="O506">
        <f>VLOOKUP(D506, Products!A:D, 4, FALSE)</f>
        <v>2768</v>
      </c>
      <c r="P506">
        <f>IFERROR(VLOOKUP(C506, Customers!A:C, 3, FALSE), 0)</f>
        <v>46</v>
      </c>
      <c r="Q506">
        <f t="shared" si="7"/>
        <v>0.43278688524590164</v>
      </c>
    </row>
    <row r="507" spans="1:17" x14ac:dyDescent="0.3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  <c r="L507" t="str">
        <f>VLOOKUP(D507, Products!A:C, 3, FALSE)</f>
        <v>Beauty</v>
      </c>
      <c r="M507" t="str">
        <f>IFERROR(VLOOKUP(C507, Customers!A:E, 5, FALSE), "Unknown")</f>
        <v>Retail</v>
      </c>
      <c r="N507" t="str">
        <f>VLOOKUP(E507, Sales_Reps!A:C, 3, FALSE)</f>
        <v>East</v>
      </c>
      <c r="O507">
        <f>VLOOKUP(D507, Products!A:D, 4, FALSE)</f>
        <v>2237</v>
      </c>
      <c r="P507">
        <f>IFERROR(VLOOKUP(C507, Customers!A:C, 3, FALSE), 0)</f>
        <v>44</v>
      </c>
      <c r="Q507">
        <f t="shared" si="7"/>
        <v>0.56137254901960787</v>
      </c>
    </row>
    <row r="508" spans="1:17" x14ac:dyDescent="0.3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  <c r="L508" t="str">
        <f>VLOOKUP(D508, Products!A:C, 3, FALSE)</f>
        <v>Electronics</v>
      </c>
      <c r="M508" t="str">
        <f>IFERROR(VLOOKUP(C508, Customers!A:E, 5, FALSE), "Unknown")</f>
        <v>SMB</v>
      </c>
      <c r="N508" t="str">
        <f>VLOOKUP(E508, Sales_Reps!A:C, 3, FALSE)</f>
        <v>West</v>
      </c>
      <c r="O508">
        <f>VLOOKUP(D508, Products!A:D, 4, FALSE)</f>
        <v>128</v>
      </c>
      <c r="P508">
        <f>IFERROR(VLOOKUP(C508, Customers!A:C, 3, FALSE), 0)</f>
        <v>38</v>
      </c>
      <c r="Q508">
        <f t="shared" si="7"/>
        <v>0.57333333333333336</v>
      </c>
    </row>
    <row r="509" spans="1:17" x14ac:dyDescent="0.3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  <c r="L509" t="str">
        <f>VLOOKUP(D509, Products!A:C, 3, FALSE)</f>
        <v>Apparel</v>
      </c>
      <c r="M509" t="str">
        <f>IFERROR(VLOOKUP(C509, Customers!A:E, 5, FALSE), "Unknown")</f>
        <v>Retail</v>
      </c>
      <c r="N509" t="str">
        <f>VLOOKUP(E509, Sales_Reps!A:C, 3, FALSE)</f>
        <v>South</v>
      </c>
      <c r="O509">
        <f>VLOOKUP(D509, Products!A:D, 4, FALSE)</f>
        <v>1173</v>
      </c>
      <c r="P509">
        <f>IFERROR(VLOOKUP(C509, Customers!A:C, 3, FALSE), 0)</f>
        <v>26</v>
      </c>
      <c r="Q509">
        <f t="shared" si="7"/>
        <v>0.52701612903225803</v>
      </c>
    </row>
    <row r="510" spans="1:17" x14ac:dyDescent="0.3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  <c r="L510" t="str">
        <f>VLOOKUP(D510, Products!A:C, 3, FALSE)</f>
        <v>Beauty</v>
      </c>
      <c r="M510" t="str">
        <f>IFERROR(VLOOKUP(C510, Customers!A:E, 5, FALSE), "Unknown")</f>
        <v>Retail</v>
      </c>
      <c r="N510" t="str">
        <f>VLOOKUP(E510, Sales_Reps!A:C, 3, FALSE)</f>
        <v>East</v>
      </c>
      <c r="O510">
        <f>VLOOKUP(D510, Products!A:D, 4, FALSE)</f>
        <v>1222</v>
      </c>
      <c r="P510">
        <f>IFERROR(VLOOKUP(C510, Customers!A:C, 3, FALSE), 0)</f>
        <v>36</v>
      </c>
      <c r="Q510">
        <f t="shared" si="7"/>
        <v>0.2593939393939394</v>
      </c>
    </row>
    <row r="511" spans="1:17" x14ac:dyDescent="0.3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  <c r="L511" t="str">
        <f>VLOOKUP(D511, Products!A:C, 3, FALSE)</f>
        <v>Grocery</v>
      </c>
      <c r="M511" t="str">
        <f>IFERROR(VLOOKUP(C511, Customers!A:E, 5, FALSE), "Unknown")</f>
        <v>Corporate</v>
      </c>
      <c r="N511" t="str">
        <f>VLOOKUP(E511, Sales_Reps!A:C, 3, FALSE)</f>
        <v>South</v>
      </c>
      <c r="O511">
        <f>VLOOKUP(D511, Products!A:D, 4, FALSE)</f>
        <v>1010</v>
      </c>
      <c r="P511">
        <f>IFERROR(VLOOKUP(C511, Customers!A:C, 3, FALSE), 0)</f>
        <v>54</v>
      </c>
      <c r="Q511">
        <f t="shared" si="7"/>
        <v>0.54298642533936647</v>
      </c>
    </row>
    <row r="512" spans="1:17" x14ac:dyDescent="0.3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  <c r="L512" t="str">
        <f>VLOOKUP(D512, Products!A:C, 3, FALSE)</f>
        <v>Apparel</v>
      </c>
      <c r="M512" t="str">
        <f>IFERROR(VLOOKUP(C512, Customers!A:E, 5, FALSE), "Unknown")</f>
        <v>Retail</v>
      </c>
      <c r="N512" t="str">
        <f>VLOOKUP(E512, Sales_Reps!A:C, 3, FALSE)</f>
        <v>North</v>
      </c>
      <c r="O512">
        <f>VLOOKUP(D512, Products!A:D, 4, FALSE)</f>
        <v>1173</v>
      </c>
      <c r="P512">
        <f>IFERROR(VLOOKUP(C512, Customers!A:C, 3, FALSE), 0)</f>
        <v>54</v>
      </c>
      <c r="Q512">
        <f t="shared" si="7"/>
        <v>0.52701612903225803</v>
      </c>
    </row>
    <row r="513" spans="1:17" x14ac:dyDescent="0.3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  <c r="L513" t="str">
        <f>VLOOKUP(D513, Products!A:C, 3, FALSE)</f>
        <v>Electronics</v>
      </c>
      <c r="M513" t="str">
        <f>IFERROR(VLOOKUP(C513, Customers!A:E, 5, FALSE), "Unknown")</f>
        <v>Corporate</v>
      </c>
      <c r="N513" t="str">
        <f>VLOOKUP(E513, Sales_Reps!A:C, 3, FALSE)</f>
        <v>East</v>
      </c>
      <c r="O513">
        <f>VLOOKUP(D513, Products!A:D, 4, FALSE)</f>
        <v>2405</v>
      </c>
      <c r="P513">
        <f>IFERROR(VLOOKUP(C513, Customers!A:C, 3, FALSE), 0)</f>
        <v>46</v>
      </c>
      <c r="Q513">
        <f t="shared" si="7"/>
        <v>0.54878048780487809</v>
      </c>
    </row>
    <row r="514" spans="1:17" x14ac:dyDescent="0.3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  <c r="L514" t="str">
        <f>VLOOKUP(D514, Products!A:C, 3, FALSE)</f>
        <v>Grocery</v>
      </c>
      <c r="M514" t="str">
        <f>IFERROR(VLOOKUP(C514, Customers!A:E, 5, FALSE), "Unknown")</f>
        <v>Retail</v>
      </c>
      <c r="N514" t="str">
        <f>VLOOKUP(E514, Sales_Reps!A:C, 3, FALSE)</f>
        <v>South</v>
      </c>
      <c r="O514">
        <f>VLOOKUP(D514, Products!A:D, 4, FALSE)</f>
        <v>2027</v>
      </c>
      <c r="P514">
        <f>IFERROR(VLOOKUP(C514, Customers!A:C, 3, FALSE), 0)</f>
        <v>65</v>
      </c>
      <c r="Q514">
        <f t="shared" si="7"/>
        <v>0.50196560196560192</v>
      </c>
    </row>
    <row r="515" spans="1:17" x14ac:dyDescent="0.3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  <c r="L515" t="str">
        <f>VLOOKUP(D515, Products!A:C, 3, FALSE)</f>
        <v>Apparel</v>
      </c>
      <c r="M515" t="str">
        <f>IFERROR(VLOOKUP(C515, Customers!A:E, 5, FALSE), "Unknown")</f>
        <v>Retail</v>
      </c>
      <c r="N515" t="str">
        <f>VLOOKUP(E515, Sales_Reps!A:C, 3, FALSE)</f>
        <v>North</v>
      </c>
      <c r="O515">
        <f>VLOOKUP(D515, Products!A:D, 4, FALSE)</f>
        <v>1962</v>
      </c>
      <c r="P515">
        <f>IFERROR(VLOOKUP(C515, Customers!A:C, 3, FALSE), 0)</f>
        <v>32</v>
      </c>
      <c r="Q515">
        <f t="shared" ref="Q515:Q578" si="8">(G515 - O515) / G515</f>
        <v>0.2786764705882353</v>
      </c>
    </row>
    <row r="516" spans="1:17" x14ac:dyDescent="0.3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  <c r="L516" t="str">
        <f>VLOOKUP(D516, Products!A:C, 3, FALSE)</f>
        <v>Sports</v>
      </c>
      <c r="M516" t="str">
        <f>IFERROR(VLOOKUP(C516, Customers!A:E, 5, FALSE), "Unknown")</f>
        <v>Corporate</v>
      </c>
      <c r="N516" t="str">
        <f>VLOOKUP(E516, Sales_Reps!A:C, 3, FALSE)</f>
        <v>West</v>
      </c>
      <c r="O516">
        <f>VLOOKUP(D516, Products!A:D, 4, FALSE)</f>
        <v>2028</v>
      </c>
      <c r="P516">
        <f>IFERROR(VLOOKUP(C516, Customers!A:C, 3, FALSE), 0)</f>
        <v>43</v>
      </c>
      <c r="Q516">
        <f t="shared" si="8"/>
        <v>0.29090909090909089</v>
      </c>
    </row>
    <row r="517" spans="1:17" x14ac:dyDescent="0.3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  <c r="L517" t="str">
        <f>VLOOKUP(D517, Products!A:C, 3, FALSE)</f>
        <v>Apparel</v>
      </c>
      <c r="M517" t="str">
        <f>IFERROR(VLOOKUP(C517, Customers!A:E, 5, FALSE), "Unknown")</f>
        <v>Retail</v>
      </c>
      <c r="N517" t="str">
        <f>VLOOKUP(E517, Sales_Reps!A:C, 3, FALSE)</f>
        <v>South</v>
      </c>
      <c r="O517">
        <f>VLOOKUP(D517, Products!A:D, 4, FALSE)</f>
        <v>2509</v>
      </c>
      <c r="P517">
        <f>IFERROR(VLOOKUP(C517, Customers!A:C, 3, FALSE), 0)</f>
        <v>35</v>
      </c>
      <c r="Q517">
        <f t="shared" si="8"/>
        <v>0.3069060773480663</v>
      </c>
    </row>
    <row r="518" spans="1:17" x14ac:dyDescent="0.3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  <c r="L518" t="str">
        <f>VLOOKUP(D518, Products!A:C, 3, FALSE)</f>
        <v>Beauty</v>
      </c>
      <c r="M518" t="str">
        <f>IFERROR(VLOOKUP(C518, Customers!A:E, 5, FALSE), "Unknown")</f>
        <v>SMB</v>
      </c>
      <c r="N518" t="str">
        <f>VLOOKUP(E518, Sales_Reps!A:C, 3, FALSE)</f>
        <v>East</v>
      </c>
      <c r="O518">
        <f>VLOOKUP(D518, Products!A:D, 4, FALSE)</f>
        <v>1222</v>
      </c>
      <c r="P518">
        <f>IFERROR(VLOOKUP(C518, Customers!A:C, 3, FALSE), 0)</f>
        <v>46</v>
      </c>
      <c r="Q518">
        <f t="shared" si="8"/>
        <v>0.2593939393939394</v>
      </c>
    </row>
    <row r="519" spans="1:17" x14ac:dyDescent="0.3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  <c r="L519" t="str">
        <f>VLOOKUP(D519, Products!A:C, 3, FALSE)</f>
        <v>Sports</v>
      </c>
      <c r="M519" t="str">
        <f>IFERROR(VLOOKUP(C519, Customers!A:E, 5, FALSE), "Unknown")</f>
        <v>Retail</v>
      </c>
      <c r="N519" t="str">
        <f>VLOOKUP(E519, Sales_Reps!A:C, 3, FALSE)</f>
        <v>West</v>
      </c>
      <c r="O519">
        <f>VLOOKUP(D519, Products!A:D, 4, FALSE)</f>
        <v>147</v>
      </c>
      <c r="P519">
        <f>IFERROR(VLOOKUP(C519, Customers!A:C, 3, FALSE), 0)</f>
        <v>25</v>
      </c>
      <c r="Q519">
        <f t="shared" si="8"/>
        <v>0.22631578947368422</v>
      </c>
    </row>
    <row r="520" spans="1:17" x14ac:dyDescent="0.3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  <c r="L520" t="str">
        <f>VLOOKUP(D520, Products!A:C, 3, FALSE)</f>
        <v>Beauty</v>
      </c>
      <c r="M520" t="str">
        <f>IFERROR(VLOOKUP(C520, Customers!A:E, 5, FALSE), "Unknown")</f>
        <v>Retail</v>
      </c>
      <c r="N520" t="str">
        <f>VLOOKUP(E520, Sales_Reps!A:C, 3, FALSE)</f>
        <v>West</v>
      </c>
      <c r="O520">
        <f>VLOOKUP(D520, Products!A:D, 4, FALSE)</f>
        <v>1219</v>
      </c>
      <c r="P520">
        <f>IFERROR(VLOOKUP(C520, Customers!A:C, 3, FALSE), 0)</f>
        <v>49</v>
      </c>
      <c r="Q520">
        <f t="shared" si="8"/>
        <v>0.46768558951965067</v>
      </c>
    </row>
    <row r="521" spans="1:17" x14ac:dyDescent="0.3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  <c r="L521" t="str">
        <f>VLOOKUP(D521, Products!A:C, 3, FALSE)</f>
        <v>Electronics</v>
      </c>
      <c r="M521" t="str">
        <f>IFERROR(VLOOKUP(C521, Customers!A:E, 5, FALSE), "Unknown")</f>
        <v>SMB</v>
      </c>
      <c r="N521" t="str">
        <f>VLOOKUP(E521, Sales_Reps!A:C, 3, FALSE)</f>
        <v>East</v>
      </c>
      <c r="O521">
        <f>VLOOKUP(D521, Products!A:D, 4, FALSE)</f>
        <v>2405</v>
      </c>
      <c r="P521">
        <f>IFERROR(VLOOKUP(C521, Customers!A:C, 3, FALSE), 0)</f>
        <v>52</v>
      </c>
      <c r="Q521">
        <f t="shared" si="8"/>
        <v>0.54878048780487809</v>
      </c>
    </row>
    <row r="522" spans="1:17" x14ac:dyDescent="0.3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  <c r="L522" t="str">
        <f>VLOOKUP(D522, Products!A:C, 3, FALSE)</f>
        <v>Electronics</v>
      </c>
      <c r="M522" t="str">
        <f>IFERROR(VLOOKUP(C522, Customers!A:E, 5, FALSE), "Unknown")</f>
        <v>SMB</v>
      </c>
      <c r="N522" t="str">
        <f>VLOOKUP(E522, Sales_Reps!A:C, 3, FALSE)</f>
        <v>South</v>
      </c>
      <c r="O522">
        <f>VLOOKUP(D522, Products!A:D, 4, FALSE)</f>
        <v>2405</v>
      </c>
      <c r="P522">
        <f>IFERROR(VLOOKUP(C522, Customers!A:C, 3, FALSE), 0)</f>
        <v>65</v>
      </c>
      <c r="Q522">
        <f t="shared" si="8"/>
        <v>0.54878048780487809</v>
      </c>
    </row>
    <row r="523" spans="1:17" x14ac:dyDescent="0.3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  <c r="L523" t="str">
        <f>VLOOKUP(D523, Products!A:C, 3, FALSE)</f>
        <v>Home</v>
      </c>
      <c r="M523" t="str">
        <f>IFERROR(VLOOKUP(C523, Customers!A:E, 5, FALSE), "Unknown")</f>
        <v>Retail</v>
      </c>
      <c r="N523" t="str">
        <f>VLOOKUP(E523, Sales_Reps!A:C, 3, FALSE)</f>
        <v>North</v>
      </c>
      <c r="O523">
        <f>VLOOKUP(D523, Products!A:D, 4, FALSE)</f>
        <v>2459</v>
      </c>
      <c r="P523">
        <f>IFERROR(VLOOKUP(C523, Customers!A:C, 3, FALSE), 0)</f>
        <v>38</v>
      </c>
      <c r="Q523">
        <f t="shared" si="8"/>
        <v>0.51594488188976373</v>
      </c>
    </row>
    <row r="524" spans="1:17" x14ac:dyDescent="0.3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  <c r="L524" t="str">
        <f>VLOOKUP(D524, Products!A:C, 3, FALSE)</f>
        <v>Home</v>
      </c>
      <c r="M524" t="str">
        <f>IFERROR(VLOOKUP(C524, Customers!A:E, 5, FALSE), "Unknown")</f>
        <v>SMB</v>
      </c>
      <c r="N524" t="str">
        <f>VLOOKUP(E524, Sales_Reps!A:C, 3, FALSE)</f>
        <v>North</v>
      </c>
      <c r="O524">
        <f>VLOOKUP(D524, Products!A:D, 4, FALSE)</f>
        <v>288</v>
      </c>
      <c r="P524">
        <f>IFERROR(VLOOKUP(C524, Customers!A:C, 3, FALSE), 0)</f>
        <v>49</v>
      </c>
      <c r="Q524">
        <f t="shared" si="8"/>
        <v>0.22162162162162163</v>
      </c>
    </row>
    <row r="525" spans="1:17" x14ac:dyDescent="0.3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  <c r="L525" t="str">
        <f>VLOOKUP(D525, Products!A:C, 3, FALSE)</f>
        <v>Sports</v>
      </c>
      <c r="M525" t="str">
        <f>IFERROR(VLOOKUP(C525, Customers!A:E, 5, FALSE), "Unknown")</f>
        <v>Retail</v>
      </c>
      <c r="N525" t="str">
        <f>VLOOKUP(E525, Sales_Reps!A:C, 3, FALSE)</f>
        <v>South</v>
      </c>
      <c r="O525">
        <f>VLOOKUP(D525, Products!A:D, 4, FALSE)</f>
        <v>302</v>
      </c>
      <c r="P525">
        <f>IFERROR(VLOOKUP(C525, Customers!A:C, 3, FALSE), 0)</f>
        <v>31</v>
      </c>
      <c r="Q525">
        <f t="shared" si="8"/>
        <v>0.35744680851063831</v>
      </c>
    </row>
    <row r="526" spans="1:17" x14ac:dyDescent="0.3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  <c r="L526" t="str">
        <f>VLOOKUP(D526, Products!A:C, 3, FALSE)</f>
        <v>Sports</v>
      </c>
      <c r="M526" t="str">
        <f>IFERROR(VLOOKUP(C526, Customers!A:E, 5, FALSE), "Unknown")</f>
        <v>SMB</v>
      </c>
      <c r="N526" t="str">
        <f>VLOOKUP(E526, Sales_Reps!A:C, 3, FALSE)</f>
        <v>West</v>
      </c>
      <c r="O526">
        <f>VLOOKUP(D526, Products!A:D, 4, FALSE)</f>
        <v>2265</v>
      </c>
      <c r="P526">
        <f>IFERROR(VLOOKUP(C526, Customers!A:C, 3, FALSE), 0)</f>
        <v>27</v>
      </c>
      <c r="Q526">
        <f t="shared" si="8"/>
        <v>0.58133086876155271</v>
      </c>
    </row>
    <row r="527" spans="1:17" x14ac:dyDescent="0.3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  <c r="L527" t="str">
        <f>VLOOKUP(D527, Products!A:C, 3, FALSE)</f>
        <v>Apparel</v>
      </c>
      <c r="M527" t="str">
        <f>IFERROR(VLOOKUP(C527, Customers!A:E, 5, FALSE), "Unknown")</f>
        <v>SMB</v>
      </c>
      <c r="N527" t="str">
        <f>VLOOKUP(E527, Sales_Reps!A:C, 3, FALSE)</f>
        <v>North</v>
      </c>
      <c r="O527">
        <f>VLOOKUP(D527, Products!A:D, 4, FALSE)</f>
        <v>2509</v>
      </c>
      <c r="P527">
        <f>IFERROR(VLOOKUP(C527, Customers!A:C, 3, FALSE), 0)</f>
        <v>31</v>
      </c>
      <c r="Q527">
        <f t="shared" si="8"/>
        <v>0.3069060773480663</v>
      </c>
    </row>
    <row r="528" spans="1:17" x14ac:dyDescent="0.3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  <c r="L528" t="str">
        <f>VLOOKUP(D528, Products!A:C, 3, FALSE)</f>
        <v>Grocery</v>
      </c>
      <c r="M528" t="str">
        <f>IFERROR(VLOOKUP(C528, Customers!A:E, 5, FALSE), "Unknown")</f>
        <v>Retail</v>
      </c>
      <c r="N528" t="str">
        <f>VLOOKUP(E528, Sales_Reps!A:C, 3, FALSE)</f>
        <v>West</v>
      </c>
      <c r="O528">
        <f>VLOOKUP(D528, Products!A:D, 4, FALSE)</f>
        <v>1435</v>
      </c>
      <c r="P528">
        <f>IFERROR(VLOOKUP(C528, Customers!A:C, 3, FALSE), 0)</f>
        <v>47</v>
      </c>
      <c r="Q528">
        <f t="shared" si="8"/>
        <v>0.48007246376811596</v>
      </c>
    </row>
    <row r="529" spans="1:17" x14ac:dyDescent="0.3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  <c r="L529" t="str">
        <f>VLOOKUP(D529, Products!A:C, 3, FALSE)</f>
        <v>Beauty</v>
      </c>
      <c r="M529" t="str">
        <f>IFERROR(VLOOKUP(C529, Customers!A:E, 5, FALSE), "Unknown")</f>
        <v>Retail</v>
      </c>
      <c r="N529" t="str">
        <f>VLOOKUP(E529, Sales_Reps!A:C, 3, FALSE)</f>
        <v>North</v>
      </c>
      <c r="O529">
        <f>VLOOKUP(D529, Products!A:D, 4, FALSE)</f>
        <v>2420</v>
      </c>
      <c r="P529">
        <f>IFERROR(VLOOKUP(C529, Customers!A:C, 3, FALSE), 0)</f>
        <v>40</v>
      </c>
      <c r="Q529">
        <f t="shared" si="8"/>
        <v>0.29855072463768118</v>
      </c>
    </row>
    <row r="530" spans="1:17" x14ac:dyDescent="0.3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  <c r="L530" t="str">
        <f>VLOOKUP(D530, Products!A:C, 3, FALSE)</f>
        <v>Grocery</v>
      </c>
      <c r="M530" t="str">
        <f>IFERROR(VLOOKUP(C530, Customers!A:E, 5, FALSE), "Unknown")</f>
        <v>SMB</v>
      </c>
      <c r="N530" t="str">
        <f>VLOOKUP(E530, Sales_Reps!A:C, 3, FALSE)</f>
        <v>West</v>
      </c>
      <c r="O530">
        <f>VLOOKUP(D530, Products!A:D, 4, FALSE)</f>
        <v>2214</v>
      </c>
      <c r="P530">
        <f>IFERROR(VLOOKUP(C530, Customers!A:C, 3, FALSE), 0)</f>
        <v>29</v>
      </c>
      <c r="Q530">
        <f t="shared" si="8"/>
        <v>0.39508196721311473</v>
      </c>
    </row>
    <row r="531" spans="1:17" x14ac:dyDescent="0.3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  <c r="L531" t="str">
        <f>VLOOKUP(D531, Products!A:C, 3, FALSE)</f>
        <v>Electronics</v>
      </c>
      <c r="M531" t="str">
        <f>IFERROR(VLOOKUP(C531, Customers!A:E, 5, FALSE), "Unknown")</f>
        <v>Corporate</v>
      </c>
      <c r="N531" t="str">
        <f>VLOOKUP(E531, Sales_Reps!A:C, 3, FALSE)</f>
        <v>West</v>
      </c>
      <c r="O531">
        <f>VLOOKUP(D531, Products!A:D, 4, FALSE)</f>
        <v>1665</v>
      </c>
      <c r="P531">
        <f>IFERROR(VLOOKUP(C531, Customers!A:C, 3, FALSE), 0)</f>
        <v>55</v>
      </c>
      <c r="Q531">
        <f t="shared" si="8"/>
        <v>0.53361344537815125</v>
      </c>
    </row>
    <row r="532" spans="1:17" x14ac:dyDescent="0.3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  <c r="L532" t="str">
        <f>VLOOKUP(D532, Products!A:C, 3, FALSE)</f>
        <v>Home</v>
      </c>
      <c r="M532" t="str">
        <f>IFERROR(VLOOKUP(C532, Customers!A:E, 5, FALSE), "Unknown")</f>
        <v>Retail</v>
      </c>
      <c r="N532" t="str">
        <f>VLOOKUP(E532, Sales_Reps!A:C, 3, FALSE)</f>
        <v>South</v>
      </c>
      <c r="O532">
        <f>VLOOKUP(D532, Products!A:D, 4, FALSE)</f>
        <v>464</v>
      </c>
      <c r="P532">
        <f>IFERROR(VLOOKUP(C532, Customers!A:C, 3, FALSE), 0)</f>
        <v>44</v>
      </c>
      <c r="Q532">
        <f t="shared" si="8"/>
        <v>0.57431192660550456</v>
      </c>
    </row>
    <row r="533" spans="1:17" x14ac:dyDescent="0.3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  <c r="L533" t="str">
        <f>VLOOKUP(D533, Products!A:C, 3, FALSE)</f>
        <v>Apparel</v>
      </c>
      <c r="M533" t="str">
        <f>IFERROR(VLOOKUP(C533, Customers!A:E, 5, FALSE), "Unknown")</f>
        <v>Retail</v>
      </c>
      <c r="N533" t="str">
        <f>VLOOKUP(E533, Sales_Reps!A:C, 3, FALSE)</f>
        <v>East</v>
      </c>
      <c r="O533">
        <f>VLOOKUP(D533, Products!A:D, 4, FALSE)</f>
        <v>2509</v>
      </c>
      <c r="P533">
        <f>IFERROR(VLOOKUP(C533, Customers!A:C, 3, FALSE), 0)</f>
        <v>29</v>
      </c>
      <c r="Q533">
        <f t="shared" si="8"/>
        <v>0.3069060773480663</v>
      </c>
    </row>
    <row r="534" spans="1:17" x14ac:dyDescent="0.3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  <c r="L534" t="str">
        <f>VLOOKUP(D534, Products!A:C, 3, FALSE)</f>
        <v>Beauty</v>
      </c>
      <c r="M534" t="str">
        <f>IFERROR(VLOOKUP(C534, Customers!A:E, 5, FALSE), "Unknown")</f>
        <v>Retail</v>
      </c>
      <c r="N534" t="str">
        <f>VLOOKUP(E534, Sales_Reps!A:C, 3, FALSE)</f>
        <v>South</v>
      </c>
      <c r="O534">
        <f>VLOOKUP(D534, Products!A:D, 4, FALSE)</f>
        <v>2768</v>
      </c>
      <c r="P534">
        <f>IFERROR(VLOOKUP(C534, Customers!A:C, 3, FALSE), 0)</f>
        <v>35</v>
      </c>
      <c r="Q534">
        <f t="shared" si="8"/>
        <v>0.43278688524590164</v>
      </c>
    </row>
    <row r="535" spans="1:17" x14ac:dyDescent="0.3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  <c r="L535" t="str">
        <f>VLOOKUP(D535, Products!A:C, 3, FALSE)</f>
        <v>Sports</v>
      </c>
      <c r="M535" t="str">
        <f>IFERROR(VLOOKUP(C535, Customers!A:E, 5, FALSE), "Unknown")</f>
        <v>Corporate</v>
      </c>
      <c r="N535" t="str">
        <f>VLOOKUP(E535, Sales_Reps!A:C, 3, FALSE)</f>
        <v>West</v>
      </c>
      <c r="O535">
        <f>VLOOKUP(D535, Products!A:D, 4, FALSE)</f>
        <v>302</v>
      </c>
      <c r="P535">
        <f>IFERROR(VLOOKUP(C535, Customers!A:C, 3, FALSE), 0)</f>
        <v>29</v>
      </c>
      <c r="Q535">
        <f t="shared" si="8"/>
        <v>0.35744680851063831</v>
      </c>
    </row>
    <row r="536" spans="1:17" x14ac:dyDescent="0.3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  <c r="L536" t="str">
        <f>VLOOKUP(D536, Products!A:C, 3, FALSE)</f>
        <v>Beauty</v>
      </c>
      <c r="M536" t="str">
        <f>IFERROR(VLOOKUP(C536, Customers!A:E, 5, FALSE), "Unknown")</f>
        <v>Retail</v>
      </c>
      <c r="N536" t="str">
        <f>VLOOKUP(E536, Sales_Reps!A:C, 3, FALSE)</f>
        <v>East</v>
      </c>
      <c r="O536">
        <f>VLOOKUP(D536, Products!A:D, 4, FALSE)</f>
        <v>1219</v>
      </c>
      <c r="P536">
        <f>IFERROR(VLOOKUP(C536, Customers!A:C, 3, FALSE), 0)</f>
        <v>52</v>
      </c>
      <c r="Q536">
        <f t="shared" si="8"/>
        <v>0.46768558951965067</v>
      </c>
    </row>
    <row r="537" spans="1:17" x14ac:dyDescent="0.3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  <c r="L537" t="str">
        <f>VLOOKUP(D537, Products!A:C, 3, FALSE)</f>
        <v>Grocery</v>
      </c>
      <c r="M537" t="str">
        <f>IFERROR(VLOOKUP(C537, Customers!A:E, 5, FALSE), "Unknown")</f>
        <v>Corporate</v>
      </c>
      <c r="N537" t="str">
        <f>VLOOKUP(E537, Sales_Reps!A:C, 3, FALSE)</f>
        <v>South</v>
      </c>
      <c r="O537">
        <f>VLOOKUP(D537, Products!A:D, 4, FALSE)</f>
        <v>1182</v>
      </c>
      <c r="P537">
        <f>IFERROR(VLOOKUP(C537, Customers!A:C, 3, FALSE), 0)</f>
        <v>37</v>
      </c>
      <c r="Q537">
        <f t="shared" si="8"/>
        <v>0.50336134453781511</v>
      </c>
    </row>
    <row r="538" spans="1:17" x14ac:dyDescent="0.3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  <c r="L538" t="str">
        <f>VLOOKUP(D538, Products!A:C, 3, FALSE)</f>
        <v>Grocery</v>
      </c>
      <c r="M538" t="str">
        <f>IFERROR(VLOOKUP(C538, Customers!A:E, 5, FALSE), "Unknown")</f>
        <v>Retail</v>
      </c>
      <c r="N538" t="str">
        <f>VLOOKUP(E538, Sales_Reps!A:C, 3, FALSE)</f>
        <v>North</v>
      </c>
      <c r="O538">
        <f>VLOOKUP(D538, Products!A:D, 4, FALSE)</f>
        <v>1182</v>
      </c>
      <c r="P538">
        <f>IFERROR(VLOOKUP(C538, Customers!A:C, 3, FALSE), 0)</f>
        <v>56</v>
      </c>
      <c r="Q538">
        <f t="shared" si="8"/>
        <v>0.50336134453781511</v>
      </c>
    </row>
    <row r="539" spans="1:17" x14ac:dyDescent="0.3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  <c r="L539" t="str">
        <f>VLOOKUP(D539, Products!A:C, 3, FALSE)</f>
        <v>Sports</v>
      </c>
      <c r="M539" t="str">
        <f>IFERROR(VLOOKUP(C539, Customers!A:E, 5, FALSE), "Unknown")</f>
        <v>Corporate</v>
      </c>
      <c r="N539" t="str">
        <f>VLOOKUP(E539, Sales_Reps!A:C, 3, FALSE)</f>
        <v>South</v>
      </c>
      <c r="O539">
        <f>VLOOKUP(D539, Products!A:D, 4, FALSE)</f>
        <v>2265</v>
      </c>
      <c r="P539">
        <f>IFERROR(VLOOKUP(C539, Customers!A:C, 3, FALSE), 0)</f>
        <v>41</v>
      </c>
      <c r="Q539">
        <f t="shared" si="8"/>
        <v>0.58133086876155271</v>
      </c>
    </row>
    <row r="540" spans="1:17" x14ac:dyDescent="0.3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  <c r="L540" t="str">
        <f>VLOOKUP(D540, Products!A:C, 3, FALSE)</f>
        <v>Electronics</v>
      </c>
      <c r="M540" t="str">
        <f>IFERROR(VLOOKUP(C540, Customers!A:E, 5, FALSE), "Unknown")</f>
        <v>SMB</v>
      </c>
      <c r="N540" t="str">
        <f>VLOOKUP(E540, Sales_Reps!A:C, 3, FALSE)</f>
        <v>North</v>
      </c>
      <c r="O540">
        <f>VLOOKUP(D540, Products!A:D, 4, FALSE)</f>
        <v>861</v>
      </c>
      <c r="P540">
        <f>IFERROR(VLOOKUP(C540, Customers!A:C, 3, FALSE), 0)</f>
        <v>36</v>
      </c>
      <c r="Q540">
        <f t="shared" si="8"/>
        <v>0.39790209790209791</v>
      </c>
    </row>
    <row r="541" spans="1:17" x14ac:dyDescent="0.3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  <c r="L541" t="str">
        <f>VLOOKUP(D541, Products!A:C, 3, FALSE)</f>
        <v>Sports</v>
      </c>
      <c r="M541" t="str">
        <f>IFERROR(VLOOKUP(C541, Customers!A:E, 5, FALSE), "Unknown")</f>
        <v>Retail</v>
      </c>
      <c r="N541" t="str">
        <f>VLOOKUP(E541, Sales_Reps!A:C, 3, FALSE)</f>
        <v>West</v>
      </c>
      <c r="O541">
        <f>VLOOKUP(D541, Products!A:D, 4, FALSE)</f>
        <v>974</v>
      </c>
      <c r="P541">
        <f>IFERROR(VLOOKUP(C541, Customers!A:C, 3, FALSE), 0)</f>
        <v>47</v>
      </c>
      <c r="Q541">
        <f t="shared" si="8"/>
        <v>0.59416666666666662</v>
      </c>
    </row>
    <row r="542" spans="1:17" x14ac:dyDescent="0.3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  <c r="L542" t="str">
        <f>VLOOKUP(D542, Products!A:C, 3, FALSE)</f>
        <v>Grocery</v>
      </c>
      <c r="M542" t="str">
        <f>IFERROR(VLOOKUP(C542, Customers!A:E, 5, FALSE), "Unknown")</f>
        <v>Corporate</v>
      </c>
      <c r="N542" t="str">
        <f>VLOOKUP(E542, Sales_Reps!A:C, 3, FALSE)</f>
        <v>North</v>
      </c>
      <c r="O542">
        <f>VLOOKUP(D542, Products!A:D, 4, FALSE)</f>
        <v>2436</v>
      </c>
      <c r="P542">
        <f>IFERROR(VLOOKUP(C542, Customers!A:C, 3, FALSE), 0)</f>
        <v>52</v>
      </c>
      <c r="Q542">
        <f t="shared" si="8"/>
        <v>0.35555555555555557</v>
      </c>
    </row>
    <row r="543" spans="1:17" x14ac:dyDescent="0.3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  <c r="L543" t="str">
        <f>VLOOKUP(D543, Products!A:C, 3, FALSE)</f>
        <v>Apparel</v>
      </c>
      <c r="M543" t="str">
        <f>IFERROR(VLOOKUP(C543, Customers!A:E, 5, FALSE), "Unknown")</f>
        <v>Corporate</v>
      </c>
      <c r="N543" t="str">
        <f>VLOOKUP(E543, Sales_Reps!A:C, 3, FALSE)</f>
        <v>East</v>
      </c>
      <c r="O543">
        <f>VLOOKUP(D543, Products!A:D, 4, FALSE)</f>
        <v>396</v>
      </c>
      <c r="P543">
        <f>IFERROR(VLOOKUP(C543, Customers!A:C, 3, FALSE), 0)</f>
        <v>62</v>
      </c>
      <c r="Q543">
        <f t="shared" si="8"/>
        <v>0.36129032258064514</v>
      </c>
    </row>
    <row r="544" spans="1:17" x14ac:dyDescent="0.3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  <c r="L544" t="str">
        <f>VLOOKUP(D544, Products!A:C, 3, FALSE)</f>
        <v>Sports</v>
      </c>
      <c r="M544" t="str">
        <f>IFERROR(VLOOKUP(C544, Customers!A:E, 5, FALSE), "Unknown")</f>
        <v>Retail</v>
      </c>
      <c r="N544" t="str">
        <f>VLOOKUP(E544, Sales_Reps!A:C, 3, FALSE)</f>
        <v>North</v>
      </c>
      <c r="O544">
        <f>VLOOKUP(D544, Products!A:D, 4, FALSE)</f>
        <v>147</v>
      </c>
      <c r="P544">
        <f>IFERROR(VLOOKUP(C544, Customers!A:C, 3, FALSE), 0)</f>
        <v>43</v>
      </c>
      <c r="Q544">
        <f t="shared" si="8"/>
        <v>0.22631578947368422</v>
      </c>
    </row>
    <row r="545" spans="1:17" x14ac:dyDescent="0.3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  <c r="L545" t="str">
        <f>VLOOKUP(D545, Products!A:C, 3, FALSE)</f>
        <v>Apparel</v>
      </c>
      <c r="M545" t="str">
        <f>IFERROR(VLOOKUP(C545, Customers!A:E, 5, FALSE), "Unknown")</f>
        <v>Retail</v>
      </c>
      <c r="N545" t="str">
        <f>VLOOKUP(E545, Sales_Reps!A:C, 3, FALSE)</f>
        <v>East</v>
      </c>
      <c r="O545">
        <f>VLOOKUP(D545, Products!A:D, 4, FALSE)</f>
        <v>2509</v>
      </c>
      <c r="P545">
        <f>IFERROR(VLOOKUP(C545, Customers!A:C, 3, FALSE), 0)</f>
        <v>61</v>
      </c>
      <c r="Q545">
        <f t="shared" si="8"/>
        <v>0.3069060773480663</v>
      </c>
    </row>
    <row r="546" spans="1:17" x14ac:dyDescent="0.3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  <c r="L546" t="str">
        <f>VLOOKUP(D546, Products!A:C, 3, FALSE)</f>
        <v>Sports</v>
      </c>
      <c r="M546" t="str">
        <f>IFERROR(VLOOKUP(C546, Customers!A:E, 5, FALSE), "Unknown")</f>
        <v>Corporate</v>
      </c>
      <c r="N546" t="str">
        <f>VLOOKUP(E546, Sales_Reps!A:C, 3, FALSE)</f>
        <v>East</v>
      </c>
      <c r="O546">
        <f>VLOOKUP(D546, Products!A:D, 4, FALSE)</f>
        <v>2028</v>
      </c>
      <c r="P546">
        <f>IFERROR(VLOOKUP(C546, Customers!A:C, 3, FALSE), 0)</f>
        <v>56</v>
      </c>
      <c r="Q546">
        <f t="shared" si="8"/>
        <v>0.29090909090909089</v>
      </c>
    </row>
    <row r="547" spans="1:17" x14ac:dyDescent="0.3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  <c r="L547" t="str">
        <f>VLOOKUP(D547, Products!A:C, 3, FALSE)</f>
        <v>Sports</v>
      </c>
      <c r="M547" t="str">
        <f>IFERROR(VLOOKUP(C547, Customers!A:E, 5, FALSE), "Unknown")</f>
        <v>Retail</v>
      </c>
      <c r="N547" t="str">
        <f>VLOOKUP(E547, Sales_Reps!A:C, 3, FALSE)</f>
        <v>East</v>
      </c>
      <c r="O547">
        <f>VLOOKUP(D547, Products!A:D, 4, FALSE)</f>
        <v>974</v>
      </c>
      <c r="P547">
        <f>IFERROR(VLOOKUP(C547, Customers!A:C, 3, FALSE), 0)</f>
        <v>55</v>
      </c>
      <c r="Q547">
        <f t="shared" si="8"/>
        <v>0.59416666666666662</v>
      </c>
    </row>
    <row r="548" spans="1:17" x14ac:dyDescent="0.3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  <c r="L548" t="str">
        <f>VLOOKUP(D548, Products!A:C, 3, FALSE)</f>
        <v>Home</v>
      </c>
      <c r="M548" t="str">
        <f>IFERROR(VLOOKUP(C548, Customers!A:E, 5, FALSE), "Unknown")</f>
        <v>SMB</v>
      </c>
      <c r="N548" t="str">
        <f>VLOOKUP(E548, Sales_Reps!A:C, 3, FALSE)</f>
        <v>South</v>
      </c>
      <c r="O548">
        <f>VLOOKUP(D548, Products!A:D, 4, FALSE)</f>
        <v>2459</v>
      </c>
      <c r="P548">
        <f>IFERROR(VLOOKUP(C548, Customers!A:C, 3, FALSE), 0)</f>
        <v>42</v>
      </c>
      <c r="Q548">
        <f t="shared" si="8"/>
        <v>0.51594488188976373</v>
      </c>
    </row>
    <row r="549" spans="1:17" x14ac:dyDescent="0.3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  <c r="L549" t="str">
        <f>VLOOKUP(D549, Products!A:C, 3, FALSE)</f>
        <v>Home</v>
      </c>
      <c r="M549" t="str">
        <f>IFERROR(VLOOKUP(C549, Customers!A:E, 5, FALSE), "Unknown")</f>
        <v>Corporate</v>
      </c>
      <c r="N549" t="str">
        <f>VLOOKUP(E549, Sales_Reps!A:C, 3, FALSE)</f>
        <v>South</v>
      </c>
      <c r="O549">
        <f>VLOOKUP(D549, Products!A:D, 4, FALSE)</f>
        <v>2459</v>
      </c>
      <c r="P549">
        <f>IFERROR(VLOOKUP(C549, Customers!A:C, 3, FALSE), 0)</f>
        <v>32</v>
      </c>
      <c r="Q549">
        <f t="shared" si="8"/>
        <v>0.51594488188976373</v>
      </c>
    </row>
    <row r="550" spans="1:17" x14ac:dyDescent="0.3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  <c r="L550" t="str">
        <f>VLOOKUP(D550, Products!A:C, 3, FALSE)</f>
        <v>Sports</v>
      </c>
      <c r="M550" t="str">
        <f>IFERROR(VLOOKUP(C550, Customers!A:E, 5, FALSE), "Unknown")</f>
        <v>SMB</v>
      </c>
      <c r="N550" t="str">
        <f>VLOOKUP(E550, Sales_Reps!A:C, 3, FALSE)</f>
        <v>North</v>
      </c>
      <c r="O550">
        <f>VLOOKUP(D550, Products!A:D, 4, FALSE)</f>
        <v>705</v>
      </c>
      <c r="P550">
        <f>IFERROR(VLOOKUP(C550, Customers!A:C, 3, FALSE), 0)</f>
        <v>65</v>
      </c>
      <c r="Q550">
        <f t="shared" si="8"/>
        <v>0.265625</v>
      </c>
    </row>
    <row r="551" spans="1:17" x14ac:dyDescent="0.3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  <c r="L551" t="str">
        <f>VLOOKUP(D551, Products!A:C, 3, FALSE)</f>
        <v>Grocery</v>
      </c>
      <c r="M551" t="str">
        <f>IFERROR(VLOOKUP(C551, Customers!A:E, 5, FALSE), "Unknown")</f>
        <v>Corporate</v>
      </c>
      <c r="N551" t="str">
        <f>VLOOKUP(E551, Sales_Reps!A:C, 3, FALSE)</f>
        <v>West</v>
      </c>
      <c r="O551">
        <f>VLOOKUP(D551, Products!A:D, 4, FALSE)</f>
        <v>2214</v>
      </c>
      <c r="P551">
        <f>IFERROR(VLOOKUP(C551, Customers!A:C, 3, FALSE), 0)</f>
        <v>55</v>
      </c>
      <c r="Q551">
        <f t="shared" si="8"/>
        <v>0.39508196721311473</v>
      </c>
    </row>
    <row r="552" spans="1:17" x14ac:dyDescent="0.3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  <c r="L552" t="str">
        <f>VLOOKUP(D552, Products!A:C, 3, FALSE)</f>
        <v>Electronics</v>
      </c>
      <c r="M552" t="str">
        <f>IFERROR(VLOOKUP(C552, Customers!A:E, 5, FALSE), "Unknown")</f>
        <v>Corporate</v>
      </c>
      <c r="N552" t="str">
        <f>VLOOKUP(E552, Sales_Reps!A:C, 3, FALSE)</f>
        <v>South</v>
      </c>
      <c r="O552">
        <f>VLOOKUP(D552, Products!A:D, 4, FALSE)</f>
        <v>1149</v>
      </c>
      <c r="P552">
        <f>IFERROR(VLOOKUP(C552, Customers!A:C, 3, FALSE), 0)</f>
        <v>47</v>
      </c>
      <c r="Q552">
        <f t="shared" si="8"/>
        <v>0.56477272727272732</v>
      </c>
    </row>
    <row r="553" spans="1:17" x14ac:dyDescent="0.3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  <c r="L553" t="str">
        <f>VLOOKUP(D553, Products!A:C, 3, FALSE)</f>
        <v>Electronics</v>
      </c>
      <c r="M553" t="str">
        <f>IFERROR(VLOOKUP(C553, Customers!A:E, 5, FALSE), "Unknown")</f>
        <v>SMB</v>
      </c>
      <c r="N553" t="str">
        <f>VLOOKUP(E553, Sales_Reps!A:C, 3, FALSE)</f>
        <v>South</v>
      </c>
      <c r="O553">
        <f>VLOOKUP(D553, Products!A:D, 4, FALSE)</f>
        <v>517</v>
      </c>
      <c r="P553">
        <f>IFERROR(VLOOKUP(C553, Customers!A:C, 3, FALSE), 0)</f>
        <v>64</v>
      </c>
      <c r="Q553">
        <f t="shared" si="8"/>
        <v>0.57622950819672136</v>
      </c>
    </row>
    <row r="554" spans="1:17" x14ac:dyDescent="0.3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  <c r="L554" t="str">
        <f>VLOOKUP(D554, Products!A:C, 3, FALSE)</f>
        <v>Electronics</v>
      </c>
      <c r="M554" t="str">
        <f>IFERROR(VLOOKUP(C554, Customers!A:E, 5, FALSE), "Unknown")</f>
        <v>Retail</v>
      </c>
      <c r="N554" t="str">
        <f>VLOOKUP(E554, Sales_Reps!A:C, 3, FALSE)</f>
        <v>South</v>
      </c>
      <c r="O554">
        <f>VLOOKUP(D554, Products!A:D, 4, FALSE)</f>
        <v>128</v>
      </c>
      <c r="P554">
        <f>IFERROR(VLOOKUP(C554, Customers!A:C, 3, FALSE), 0)</f>
        <v>27</v>
      </c>
      <c r="Q554">
        <f t="shared" si="8"/>
        <v>0.57333333333333336</v>
      </c>
    </row>
    <row r="555" spans="1:17" x14ac:dyDescent="0.3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  <c r="L555" t="str">
        <f>VLOOKUP(D555, Products!A:C, 3, FALSE)</f>
        <v>Sports</v>
      </c>
      <c r="M555" t="str">
        <f>IFERROR(VLOOKUP(C555, Customers!A:E, 5, FALSE), "Unknown")</f>
        <v>Retail</v>
      </c>
      <c r="N555" t="str">
        <f>VLOOKUP(E555, Sales_Reps!A:C, 3, FALSE)</f>
        <v>East</v>
      </c>
      <c r="O555">
        <f>VLOOKUP(D555, Products!A:D, 4, FALSE)</f>
        <v>516</v>
      </c>
      <c r="P555">
        <f>IFERROR(VLOOKUP(C555, Customers!A:C, 3, FALSE), 0)</f>
        <v>65</v>
      </c>
      <c r="Q555">
        <f t="shared" si="8"/>
        <v>0.4891089108910891</v>
      </c>
    </row>
    <row r="556" spans="1:17" x14ac:dyDescent="0.3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  <c r="L556" t="str">
        <f>VLOOKUP(D556, Products!A:C, 3, FALSE)</f>
        <v>Electronics</v>
      </c>
      <c r="M556" t="str">
        <f>IFERROR(VLOOKUP(C556, Customers!A:E, 5, FALSE), "Unknown")</f>
        <v>SMB</v>
      </c>
      <c r="N556" t="str">
        <f>VLOOKUP(E556, Sales_Reps!A:C, 3, FALSE)</f>
        <v>South</v>
      </c>
      <c r="O556">
        <f>VLOOKUP(D556, Products!A:D, 4, FALSE)</f>
        <v>1052</v>
      </c>
      <c r="P556">
        <f>IFERROR(VLOOKUP(C556, Customers!A:C, 3, FALSE), 0)</f>
        <v>45</v>
      </c>
      <c r="Q556">
        <f t="shared" si="8"/>
        <v>0.5953846153846154</v>
      </c>
    </row>
    <row r="557" spans="1:17" x14ac:dyDescent="0.3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  <c r="L557" t="str">
        <f>VLOOKUP(D557, Products!A:C, 3, FALSE)</f>
        <v>Sports</v>
      </c>
      <c r="M557" t="str">
        <f>IFERROR(VLOOKUP(C557, Customers!A:E, 5, FALSE), "Unknown")</f>
        <v>Retail</v>
      </c>
      <c r="N557" t="str">
        <f>VLOOKUP(E557, Sales_Reps!A:C, 3, FALSE)</f>
        <v>West</v>
      </c>
      <c r="O557">
        <f>VLOOKUP(D557, Products!A:D, 4, FALSE)</f>
        <v>2827</v>
      </c>
      <c r="P557">
        <f>IFERROR(VLOOKUP(C557, Customers!A:C, 3, FALSE), 0)</f>
        <v>37</v>
      </c>
      <c r="Q557">
        <f t="shared" si="8"/>
        <v>0.5926512968299712</v>
      </c>
    </row>
    <row r="558" spans="1:17" x14ac:dyDescent="0.3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  <c r="L558" t="str">
        <f>VLOOKUP(D558, Products!A:C, 3, FALSE)</f>
        <v>Home</v>
      </c>
      <c r="M558" t="str">
        <f>IFERROR(VLOOKUP(C558, Customers!A:E, 5, FALSE), "Unknown")</f>
        <v>SMB</v>
      </c>
      <c r="N558" t="str">
        <f>VLOOKUP(E558, Sales_Reps!A:C, 3, FALSE)</f>
        <v>South</v>
      </c>
      <c r="O558">
        <f>VLOOKUP(D558, Products!A:D, 4, FALSE)</f>
        <v>288</v>
      </c>
      <c r="P558">
        <f>IFERROR(VLOOKUP(C558, Customers!A:C, 3, FALSE), 0)</f>
        <v>44</v>
      </c>
      <c r="Q558">
        <f t="shared" si="8"/>
        <v>0.22162162162162163</v>
      </c>
    </row>
    <row r="559" spans="1:17" x14ac:dyDescent="0.3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  <c r="L559" t="str">
        <f>VLOOKUP(D559, Products!A:C, 3, FALSE)</f>
        <v>Grocery</v>
      </c>
      <c r="M559" t="str">
        <f>IFERROR(VLOOKUP(C559, Customers!A:E, 5, FALSE), "Unknown")</f>
        <v>Retail</v>
      </c>
      <c r="N559" t="str">
        <f>VLOOKUP(E559, Sales_Reps!A:C, 3, FALSE)</f>
        <v>West</v>
      </c>
      <c r="O559">
        <f>VLOOKUP(D559, Products!A:D, 4, FALSE)</f>
        <v>2436</v>
      </c>
      <c r="P559">
        <f>IFERROR(VLOOKUP(C559, Customers!A:C, 3, FALSE), 0)</f>
        <v>39</v>
      </c>
      <c r="Q559">
        <f t="shared" si="8"/>
        <v>0.35555555555555557</v>
      </c>
    </row>
    <row r="560" spans="1:17" x14ac:dyDescent="0.3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  <c r="L560" t="str">
        <f>VLOOKUP(D560, Products!A:C, 3, FALSE)</f>
        <v>Grocery</v>
      </c>
      <c r="M560" t="str">
        <f>IFERROR(VLOOKUP(C560, Customers!A:E, 5, FALSE), "Unknown")</f>
        <v>SMB</v>
      </c>
      <c r="N560" t="str">
        <f>VLOOKUP(E560, Sales_Reps!A:C, 3, FALSE)</f>
        <v>East</v>
      </c>
      <c r="O560">
        <f>VLOOKUP(D560, Products!A:D, 4, FALSE)</f>
        <v>434</v>
      </c>
      <c r="P560">
        <f>IFERROR(VLOOKUP(C560, Customers!A:C, 3, FALSE), 0)</f>
        <v>49</v>
      </c>
      <c r="Q560">
        <f t="shared" si="8"/>
        <v>0.5525773195876289</v>
      </c>
    </row>
    <row r="561" spans="1:17" x14ac:dyDescent="0.3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  <c r="L561" t="str">
        <f>VLOOKUP(D561, Products!A:C, 3, FALSE)</f>
        <v>Grocery</v>
      </c>
      <c r="M561" t="str">
        <f>IFERROR(VLOOKUP(C561, Customers!A:E, 5, FALSE), "Unknown")</f>
        <v>Retail</v>
      </c>
      <c r="N561" t="str">
        <f>VLOOKUP(E561, Sales_Reps!A:C, 3, FALSE)</f>
        <v>North</v>
      </c>
      <c r="O561">
        <f>VLOOKUP(D561, Products!A:D, 4, FALSE)</f>
        <v>1412</v>
      </c>
      <c r="P561">
        <f>IFERROR(VLOOKUP(C561, Customers!A:C, 3, FALSE), 0)</f>
        <v>31</v>
      </c>
      <c r="Q561">
        <f t="shared" si="8"/>
        <v>0.37797356828193834</v>
      </c>
    </row>
    <row r="562" spans="1:17" x14ac:dyDescent="0.3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  <c r="L562" t="str">
        <f>VLOOKUP(D562, Products!A:C, 3, FALSE)</f>
        <v>Beauty</v>
      </c>
      <c r="M562" t="str">
        <f>IFERROR(VLOOKUP(C562, Customers!A:E, 5, FALSE), "Unknown")</f>
        <v>SMB</v>
      </c>
      <c r="N562" t="str">
        <f>VLOOKUP(E562, Sales_Reps!A:C, 3, FALSE)</f>
        <v>West</v>
      </c>
      <c r="O562">
        <f>VLOOKUP(D562, Products!A:D, 4, FALSE)</f>
        <v>647</v>
      </c>
      <c r="P562">
        <f>IFERROR(VLOOKUP(C562, Customers!A:C, 3, FALSE), 0)</f>
        <v>46</v>
      </c>
      <c r="Q562">
        <f t="shared" si="8"/>
        <v>0.57987012987012987</v>
      </c>
    </row>
    <row r="563" spans="1:17" x14ac:dyDescent="0.3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  <c r="L563" t="str">
        <f>VLOOKUP(D563, Products!A:C, 3, FALSE)</f>
        <v>Grocery</v>
      </c>
      <c r="M563" t="str">
        <f>IFERROR(VLOOKUP(C563, Customers!A:E, 5, FALSE), "Unknown")</f>
        <v>Retail</v>
      </c>
      <c r="N563" t="str">
        <f>VLOOKUP(E563, Sales_Reps!A:C, 3, FALSE)</f>
        <v>East</v>
      </c>
      <c r="O563">
        <f>VLOOKUP(D563, Products!A:D, 4, FALSE)</f>
        <v>1435</v>
      </c>
      <c r="P563">
        <f>IFERROR(VLOOKUP(C563, Customers!A:C, 3, FALSE), 0)</f>
        <v>36</v>
      </c>
      <c r="Q563">
        <f t="shared" si="8"/>
        <v>0.48007246376811596</v>
      </c>
    </row>
    <row r="564" spans="1:17" x14ac:dyDescent="0.3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  <c r="L564" t="str">
        <f>VLOOKUP(D564, Products!A:C, 3, FALSE)</f>
        <v>Grocery</v>
      </c>
      <c r="M564" t="str">
        <f>IFERROR(VLOOKUP(C564, Customers!A:E, 5, FALSE), "Unknown")</f>
        <v>Retail</v>
      </c>
      <c r="N564" t="str">
        <f>VLOOKUP(E564, Sales_Reps!A:C, 3, FALSE)</f>
        <v>West</v>
      </c>
      <c r="O564">
        <f>VLOOKUP(D564, Products!A:D, 4, FALSE)</f>
        <v>1203</v>
      </c>
      <c r="P564">
        <f>IFERROR(VLOOKUP(C564, Customers!A:C, 3, FALSE), 0)</f>
        <v>23</v>
      </c>
      <c r="Q564">
        <f t="shared" si="8"/>
        <v>0.47004405286343615</v>
      </c>
    </row>
    <row r="565" spans="1:17" x14ac:dyDescent="0.3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  <c r="L565" t="str">
        <f>VLOOKUP(D565, Products!A:C, 3, FALSE)</f>
        <v>Beauty</v>
      </c>
      <c r="M565" t="str">
        <f>IFERROR(VLOOKUP(C565, Customers!A:E, 5, FALSE), "Unknown")</f>
        <v>Corporate</v>
      </c>
      <c r="N565" t="str">
        <f>VLOOKUP(E565, Sales_Reps!A:C, 3, FALSE)</f>
        <v>South</v>
      </c>
      <c r="O565">
        <f>VLOOKUP(D565, Products!A:D, 4, FALSE)</f>
        <v>1626</v>
      </c>
      <c r="P565">
        <f>IFERROR(VLOOKUP(C565, Customers!A:C, 3, FALSE), 0)</f>
        <v>41</v>
      </c>
      <c r="Q565">
        <f t="shared" si="8"/>
        <v>0.46158940397350995</v>
      </c>
    </row>
    <row r="566" spans="1:17" x14ac:dyDescent="0.3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  <c r="L566" t="str">
        <f>VLOOKUP(D566, Products!A:C, 3, FALSE)</f>
        <v>Grocery</v>
      </c>
      <c r="M566" t="str">
        <f>IFERROR(VLOOKUP(C566, Customers!A:E, 5, FALSE), "Unknown")</f>
        <v>Retail</v>
      </c>
      <c r="N566" t="str">
        <f>VLOOKUP(E566, Sales_Reps!A:C, 3, FALSE)</f>
        <v>East</v>
      </c>
      <c r="O566">
        <f>VLOOKUP(D566, Products!A:D, 4, FALSE)</f>
        <v>1182</v>
      </c>
      <c r="P566">
        <f>IFERROR(VLOOKUP(C566, Customers!A:C, 3, FALSE), 0)</f>
        <v>62</v>
      </c>
      <c r="Q566">
        <f t="shared" si="8"/>
        <v>0.50336134453781511</v>
      </c>
    </row>
    <row r="567" spans="1:17" x14ac:dyDescent="0.3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  <c r="L567" t="str">
        <f>VLOOKUP(D567, Products!A:C, 3, FALSE)</f>
        <v>Sports</v>
      </c>
      <c r="M567" t="str">
        <f>IFERROR(VLOOKUP(C567, Customers!A:E, 5, FALSE), "Unknown")</f>
        <v>SMB</v>
      </c>
      <c r="N567" t="str">
        <f>VLOOKUP(E567, Sales_Reps!A:C, 3, FALSE)</f>
        <v>West</v>
      </c>
      <c r="O567">
        <f>VLOOKUP(D567, Products!A:D, 4, FALSE)</f>
        <v>2827</v>
      </c>
      <c r="P567">
        <f>IFERROR(VLOOKUP(C567, Customers!A:C, 3, FALSE), 0)</f>
        <v>49</v>
      </c>
      <c r="Q567">
        <f t="shared" si="8"/>
        <v>0.5926512968299712</v>
      </c>
    </row>
    <row r="568" spans="1:17" x14ac:dyDescent="0.3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  <c r="L568" t="str">
        <f>VLOOKUP(D568, Products!A:C, 3, FALSE)</f>
        <v>Electronics</v>
      </c>
      <c r="M568" t="str">
        <f>IFERROR(VLOOKUP(C568, Customers!A:E, 5, FALSE), "Unknown")</f>
        <v>Retail</v>
      </c>
      <c r="N568" t="str">
        <f>VLOOKUP(E568, Sales_Reps!A:C, 3, FALSE)</f>
        <v>South</v>
      </c>
      <c r="O568">
        <f>VLOOKUP(D568, Products!A:D, 4, FALSE)</f>
        <v>1259</v>
      </c>
      <c r="P568">
        <f>IFERROR(VLOOKUP(C568, Customers!A:C, 3, FALSE), 0)</f>
        <v>35</v>
      </c>
      <c r="Q568">
        <f t="shared" si="8"/>
        <v>0.52669172932330832</v>
      </c>
    </row>
    <row r="569" spans="1:17" x14ac:dyDescent="0.3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  <c r="L569" t="str">
        <f>VLOOKUP(D569, Products!A:C, 3, FALSE)</f>
        <v>Grocery</v>
      </c>
      <c r="M569" t="str">
        <f>IFERROR(VLOOKUP(C569, Customers!A:E, 5, FALSE), "Unknown")</f>
        <v>Retail</v>
      </c>
      <c r="N569" t="str">
        <f>VLOOKUP(E569, Sales_Reps!A:C, 3, FALSE)</f>
        <v>South</v>
      </c>
      <c r="O569">
        <f>VLOOKUP(D569, Products!A:D, 4, FALSE)</f>
        <v>434</v>
      </c>
      <c r="P569">
        <f>IFERROR(VLOOKUP(C569, Customers!A:C, 3, FALSE), 0)</f>
        <v>35</v>
      </c>
      <c r="Q569">
        <f t="shared" si="8"/>
        <v>0.5525773195876289</v>
      </c>
    </row>
    <row r="570" spans="1:17" x14ac:dyDescent="0.3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  <c r="L570" t="str">
        <f>VLOOKUP(D570, Products!A:C, 3, FALSE)</f>
        <v>Grocery</v>
      </c>
      <c r="M570" t="str">
        <f>IFERROR(VLOOKUP(C570, Customers!A:E, 5, FALSE), "Unknown")</f>
        <v>Retail</v>
      </c>
      <c r="N570" t="str">
        <f>VLOOKUP(E570, Sales_Reps!A:C, 3, FALSE)</f>
        <v>North</v>
      </c>
      <c r="O570">
        <f>VLOOKUP(D570, Products!A:D, 4, FALSE)</f>
        <v>1412</v>
      </c>
      <c r="P570">
        <f>IFERROR(VLOOKUP(C570, Customers!A:C, 3, FALSE), 0)</f>
        <v>61</v>
      </c>
      <c r="Q570">
        <f t="shared" si="8"/>
        <v>0.37797356828193834</v>
      </c>
    </row>
    <row r="571" spans="1:17" x14ac:dyDescent="0.3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  <c r="L571" t="str">
        <f>VLOOKUP(D571, Products!A:C, 3, FALSE)</f>
        <v>Sports</v>
      </c>
      <c r="M571" t="str">
        <f>IFERROR(VLOOKUP(C571, Customers!A:E, 5, FALSE), "Unknown")</f>
        <v>Retail</v>
      </c>
      <c r="N571" t="str">
        <f>VLOOKUP(E571, Sales_Reps!A:C, 3, FALSE)</f>
        <v>South</v>
      </c>
      <c r="O571">
        <f>VLOOKUP(D571, Products!A:D, 4, FALSE)</f>
        <v>516</v>
      </c>
      <c r="P571">
        <f>IFERROR(VLOOKUP(C571, Customers!A:C, 3, FALSE), 0)</f>
        <v>53</v>
      </c>
      <c r="Q571">
        <f t="shared" si="8"/>
        <v>0.4891089108910891</v>
      </c>
    </row>
    <row r="572" spans="1:17" x14ac:dyDescent="0.3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  <c r="L572" t="str">
        <f>VLOOKUP(D572, Products!A:C, 3, FALSE)</f>
        <v>Grocery</v>
      </c>
      <c r="M572" t="str">
        <f>IFERROR(VLOOKUP(C572, Customers!A:E, 5, FALSE), "Unknown")</f>
        <v>Corporate</v>
      </c>
      <c r="N572" t="str">
        <f>VLOOKUP(E572, Sales_Reps!A:C, 3, FALSE)</f>
        <v>North</v>
      </c>
      <c r="O572">
        <f>VLOOKUP(D572, Products!A:D, 4, FALSE)</f>
        <v>1182</v>
      </c>
      <c r="P572">
        <f>IFERROR(VLOOKUP(C572, Customers!A:C, 3, FALSE), 0)</f>
        <v>37</v>
      </c>
      <c r="Q572">
        <f t="shared" si="8"/>
        <v>0.50336134453781511</v>
      </c>
    </row>
    <row r="573" spans="1:17" x14ac:dyDescent="0.3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  <c r="L573" t="str">
        <f>VLOOKUP(D573, Products!A:C, 3, FALSE)</f>
        <v>Sports</v>
      </c>
      <c r="M573" t="str">
        <f>IFERROR(VLOOKUP(C573, Customers!A:E, 5, FALSE), "Unknown")</f>
        <v>SMB</v>
      </c>
      <c r="N573" t="str">
        <f>VLOOKUP(E573, Sales_Reps!A:C, 3, FALSE)</f>
        <v>East</v>
      </c>
      <c r="O573">
        <f>VLOOKUP(D573, Products!A:D, 4, FALSE)</f>
        <v>302</v>
      </c>
      <c r="P573">
        <f>IFERROR(VLOOKUP(C573, Customers!A:C, 3, FALSE), 0)</f>
        <v>36</v>
      </c>
      <c r="Q573">
        <f t="shared" si="8"/>
        <v>0.35744680851063831</v>
      </c>
    </row>
    <row r="574" spans="1:17" x14ac:dyDescent="0.3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  <c r="L574" t="str">
        <f>VLOOKUP(D574, Products!A:C, 3, FALSE)</f>
        <v>Beauty</v>
      </c>
      <c r="M574" t="str">
        <f>IFERROR(VLOOKUP(C574, Customers!A:E, 5, FALSE), "Unknown")</f>
        <v>SMB</v>
      </c>
      <c r="N574" t="str">
        <f>VLOOKUP(E574, Sales_Reps!A:C, 3, FALSE)</f>
        <v>West</v>
      </c>
      <c r="O574">
        <f>VLOOKUP(D574, Products!A:D, 4, FALSE)</f>
        <v>2237</v>
      </c>
      <c r="P574">
        <f>IFERROR(VLOOKUP(C574, Customers!A:C, 3, FALSE), 0)</f>
        <v>34</v>
      </c>
      <c r="Q574">
        <f t="shared" si="8"/>
        <v>0.56137254901960787</v>
      </c>
    </row>
    <row r="575" spans="1:17" x14ac:dyDescent="0.3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  <c r="L575" t="str">
        <f>VLOOKUP(D575, Products!A:C, 3, FALSE)</f>
        <v>Beauty</v>
      </c>
      <c r="M575" t="str">
        <f>IFERROR(VLOOKUP(C575, Customers!A:E, 5, FALSE), "Unknown")</f>
        <v>Retail</v>
      </c>
      <c r="N575" t="str">
        <f>VLOOKUP(E575, Sales_Reps!A:C, 3, FALSE)</f>
        <v>West</v>
      </c>
      <c r="O575">
        <f>VLOOKUP(D575, Products!A:D, 4, FALSE)</f>
        <v>675</v>
      </c>
      <c r="P575">
        <f>IFERROR(VLOOKUP(C575, Customers!A:C, 3, FALSE), 0)</f>
        <v>32</v>
      </c>
      <c r="Q575">
        <f t="shared" si="8"/>
        <v>0.296875</v>
      </c>
    </row>
    <row r="576" spans="1:17" x14ac:dyDescent="0.3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  <c r="L576" t="str">
        <f>VLOOKUP(D576, Products!A:C, 3, FALSE)</f>
        <v>Grocery</v>
      </c>
      <c r="M576" t="str">
        <f>IFERROR(VLOOKUP(C576, Customers!A:E, 5, FALSE), "Unknown")</f>
        <v>SMB</v>
      </c>
      <c r="N576" t="str">
        <f>VLOOKUP(E576, Sales_Reps!A:C, 3, FALSE)</f>
        <v>North</v>
      </c>
      <c r="O576">
        <f>VLOOKUP(D576, Products!A:D, 4, FALSE)</f>
        <v>2027</v>
      </c>
      <c r="P576">
        <f>IFERROR(VLOOKUP(C576, Customers!A:C, 3, FALSE), 0)</f>
        <v>40</v>
      </c>
      <c r="Q576">
        <f t="shared" si="8"/>
        <v>0.50196560196560192</v>
      </c>
    </row>
    <row r="577" spans="1:17" x14ac:dyDescent="0.3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  <c r="L577" t="str">
        <f>VLOOKUP(D577, Products!A:C, 3, FALSE)</f>
        <v>Home</v>
      </c>
      <c r="M577" t="str">
        <f>IFERROR(VLOOKUP(C577, Customers!A:E, 5, FALSE), "Unknown")</f>
        <v>SMB</v>
      </c>
      <c r="N577" t="str">
        <f>VLOOKUP(E577, Sales_Reps!A:C, 3, FALSE)</f>
        <v>East</v>
      </c>
      <c r="O577">
        <f>VLOOKUP(D577, Products!A:D, 4, FALSE)</f>
        <v>2135</v>
      </c>
      <c r="P577">
        <f>IFERROR(VLOOKUP(C577, Customers!A:C, 3, FALSE), 0)</f>
        <v>47</v>
      </c>
      <c r="Q577">
        <f t="shared" si="8"/>
        <v>0.42761394101876676</v>
      </c>
    </row>
    <row r="578" spans="1:17" x14ac:dyDescent="0.3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  <c r="L578" t="str">
        <f>VLOOKUP(D578, Products!A:C, 3, FALSE)</f>
        <v>Sports</v>
      </c>
      <c r="M578" t="str">
        <f>IFERROR(VLOOKUP(C578, Customers!A:E, 5, FALSE), "Unknown")</f>
        <v>Corporate</v>
      </c>
      <c r="N578" t="str">
        <f>VLOOKUP(E578, Sales_Reps!A:C, 3, FALSE)</f>
        <v>East</v>
      </c>
      <c r="O578">
        <f>VLOOKUP(D578, Products!A:D, 4, FALSE)</f>
        <v>2028</v>
      </c>
      <c r="P578">
        <f>IFERROR(VLOOKUP(C578, Customers!A:C, 3, FALSE), 0)</f>
        <v>46</v>
      </c>
      <c r="Q578">
        <f t="shared" si="8"/>
        <v>0.29090909090909089</v>
      </c>
    </row>
    <row r="579" spans="1:17" x14ac:dyDescent="0.3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  <c r="L579" t="str">
        <f>VLOOKUP(D579, Products!A:C, 3, FALSE)</f>
        <v>Beauty</v>
      </c>
      <c r="M579" t="str">
        <f>IFERROR(VLOOKUP(C579, Customers!A:E, 5, FALSE), "Unknown")</f>
        <v>SMB</v>
      </c>
      <c r="N579" t="str">
        <f>VLOOKUP(E579, Sales_Reps!A:C, 3, FALSE)</f>
        <v>East</v>
      </c>
      <c r="O579">
        <f>VLOOKUP(D579, Products!A:D, 4, FALSE)</f>
        <v>2768</v>
      </c>
      <c r="P579">
        <f>IFERROR(VLOOKUP(C579, Customers!A:C, 3, FALSE), 0)</f>
        <v>39</v>
      </c>
      <c r="Q579">
        <f t="shared" ref="Q579:Q642" si="9">(G579 - O579) / G579</f>
        <v>0.43278688524590164</v>
      </c>
    </row>
    <row r="580" spans="1:17" x14ac:dyDescent="0.3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  <c r="L580" t="str">
        <f>VLOOKUP(D580, Products!A:C, 3, FALSE)</f>
        <v>Grocery</v>
      </c>
      <c r="M580" t="str">
        <f>IFERROR(VLOOKUP(C580, Customers!A:E, 5, FALSE), "Unknown")</f>
        <v>Retail</v>
      </c>
      <c r="N580" t="str">
        <f>VLOOKUP(E580, Sales_Reps!A:C, 3, FALSE)</f>
        <v>East</v>
      </c>
      <c r="O580">
        <f>VLOOKUP(D580, Products!A:D, 4, FALSE)</f>
        <v>1412</v>
      </c>
      <c r="P580">
        <f>IFERROR(VLOOKUP(C580, Customers!A:C, 3, FALSE), 0)</f>
        <v>32</v>
      </c>
      <c r="Q580">
        <f t="shared" si="9"/>
        <v>0.37797356828193834</v>
      </c>
    </row>
    <row r="581" spans="1:17" x14ac:dyDescent="0.3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  <c r="L581" t="str">
        <f>VLOOKUP(D581, Products!A:C, 3, FALSE)</f>
        <v>Grocery</v>
      </c>
      <c r="M581" t="str">
        <f>IFERROR(VLOOKUP(C581, Customers!A:E, 5, FALSE), "Unknown")</f>
        <v>Retail</v>
      </c>
      <c r="N581" t="str">
        <f>VLOOKUP(E581, Sales_Reps!A:C, 3, FALSE)</f>
        <v>North</v>
      </c>
      <c r="O581">
        <f>VLOOKUP(D581, Products!A:D, 4, FALSE)</f>
        <v>2911</v>
      </c>
      <c r="P581">
        <f>IFERROR(VLOOKUP(C581, Customers!A:C, 3, FALSE), 0)</f>
        <v>65</v>
      </c>
      <c r="Q581">
        <f t="shared" si="9"/>
        <v>0.28300492610837441</v>
      </c>
    </row>
    <row r="582" spans="1:17" x14ac:dyDescent="0.3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  <c r="L582" t="str">
        <f>VLOOKUP(D582, Products!A:C, 3, FALSE)</f>
        <v>Electronics</v>
      </c>
      <c r="M582" t="str">
        <f>IFERROR(VLOOKUP(C582, Customers!A:E, 5, FALSE), "Unknown")</f>
        <v>Retail</v>
      </c>
      <c r="N582" t="str">
        <f>VLOOKUP(E582, Sales_Reps!A:C, 3, FALSE)</f>
        <v>North</v>
      </c>
      <c r="O582">
        <f>VLOOKUP(D582, Products!A:D, 4, FALSE)</f>
        <v>1149</v>
      </c>
      <c r="P582">
        <f>IFERROR(VLOOKUP(C582, Customers!A:C, 3, FALSE), 0)</f>
        <v>53</v>
      </c>
      <c r="Q582">
        <f t="shared" si="9"/>
        <v>0.56477272727272732</v>
      </c>
    </row>
    <row r="583" spans="1:17" x14ac:dyDescent="0.3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  <c r="L583" t="str">
        <f>VLOOKUP(D583, Products!A:C, 3, FALSE)</f>
        <v>Home</v>
      </c>
      <c r="M583" t="str">
        <f>IFERROR(VLOOKUP(C583, Customers!A:E, 5, FALSE), "Unknown")</f>
        <v>Retail</v>
      </c>
      <c r="N583" t="str">
        <f>VLOOKUP(E583, Sales_Reps!A:C, 3, FALSE)</f>
        <v>South</v>
      </c>
      <c r="O583">
        <f>VLOOKUP(D583, Products!A:D, 4, FALSE)</f>
        <v>2135</v>
      </c>
      <c r="P583">
        <f>IFERROR(VLOOKUP(C583, Customers!A:C, 3, FALSE), 0)</f>
        <v>59</v>
      </c>
      <c r="Q583">
        <f t="shared" si="9"/>
        <v>0.42761394101876676</v>
      </c>
    </row>
    <row r="584" spans="1:17" x14ac:dyDescent="0.3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  <c r="L584" t="str">
        <f>VLOOKUP(D584, Products!A:C, 3, FALSE)</f>
        <v>Electronics</v>
      </c>
      <c r="M584" t="str">
        <f>IFERROR(VLOOKUP(C584, Customers!A:E, 5, FALSE), "Unknown")</f>
        <v>Retail</v>
      </c>
      <c r="N584" t="str">
        <f>VLOOKUP(E584, Sales_Reps!A:C, 3, FALSE)</f>
        <v>North</v>
      </c>
      <c r="O584">
        <f>VLOOKUP(D584, Products!A:D, 4, FALSE)</f>
        <v>2405</v>
      </c>
      <c r="P584">
        <f>IFERROR(VLOOKUP(C584, Customers!A:C, 3, FALSE), 0)</f>
        <v>59</v>
      </c>
      <c r="Q584">
        <f t="shared" si="9"/>
        <v>0.54878048780487809</v>
      </c>
    </row>
    <row r="585" spans="1:17" x14ac:dyDescent="0.3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  <c r="L585" t="str">
        <f>VLOOKUP(D585, Products!A:C, 3, FALSE)</f>
        <v>Apparel</v>
      </c>
      <c r="M585" t="str">
        <f>IFERROR(VLOOKUP(C585, Customers!A:E, 5, FALSE), "Unknown")</f>
        <v>Retail</v>
      </c>
      <c r="N585" t="str">
        <f>VLOOKUP(E585, Sales_Reps!A:C, 3, FALSE)</f>
        <v>West</v>
      </c>
      <c r="O585">
        <f>VLOOKUP(D585, Products!A:D, 4, FALSE)</f>
        <v>1748</v>
      </c>
      <c r="P585">
        <f>IFERROR(VLOOKUP(C585, Customers!A:C, 3, FALSE), 0)</f>
        <v>33</v>
      </c>
      <c r="Q585">
        <f t="shared" si="9"/>
        <v>0.49333333333333335</v>
      </c>
    </row>
    <row r="586" spans="1:17" x14ac:dyDescent="0.3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  <c r="L586" t="str">
        <f>VLOOKUP(D586, Products!A:C, 3, FALSE)</f>
        <v>Beauty</v>
      </c>
      <c r="M586" t="str">
        <f>IFERROR(VLOOKUP(C586, Customers!A:E, 5, FALSE), "Unknown")</f>
        <v>Corporate</v>
      </c>
      <c r="N586" t="str">
        <f>VLOOKUP(E586, Sales_Reps!A:C, 3, FALSE)</f>
        <v>East</v>
      </c>
      <c r="O586">
        <f>VLOOKUP(D586, Products!A:D, 4, FALSE)</f>
        <v>2617</v>
      </c>
      <c r="P586">
        <f>IFERROR(VLOOKUP(C586, Customers!A:C, 3, FALSE), 0)</f>
        <v>55</v>
      </c>
      <c r="Q586">
        <f t="shared" si="9"/>
        <v>0.56957236842105263</v>
      </c>
    </row>
    <row r="587" spans="1:17" x14ac:dyDescent="0.3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  <c r="L587" t="str">
        <f>VLOOKUP(D587, Products!A:C, 3, FALSE)</f>
        <v>Home</v>
      </c>
      <c r="M587" t="str">
        <f>IFERROR(VLOOKUP(C587, Customers!A:E, 5, FALSE), "Unknown")</f>
        <v>Retail</v>
      </c>
      <c r="N587" t="str">
        <f>VLOOKUP(E587, Sales_Reps!A:C, 3, FALSE)</f>
        <v>North</v>
      </c>
      <c r="O587">
        <f>VLOOKUP(D587, Products!A:D, 4, FALSE)</f>
        <v>2135</v>
      </c>
      <c r="P587">
        <f>IFERROR(VLOOKUP(C587, Customers!A:C, 3, FALSE), 0)</f>
        <v>42</v>
      </c>
      <c r="Q587">
        <f t="shared" si="9"/>
        <v>0.42761394101876676</v>
      </c>
    </row>
    <row r="588" spans="1:17" x14ac:dyDescent="0.3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  <c r="L588" t="str">
        <f>VLOOKUP(D588, Products!A:C, 3, FALSE)</f>
        <v>Electronics</v>
      </c>
      <c r="M588" t="str">
        <f>IFERROR(VLOOKUP(C588, Customers!A:E, 5, FALSE), "Unknown")</f>
        <v>Retail</v>
      </c>
      <c r="N588" t="str">
        <f>VLOOKUP(E588, Sales_Reps!A:C, 3, FALSE)</f>
        <v>East</v>
      </c>
      <c r="O588">
        <f>VLOOKUP(D588, Products!A:D, 4, FALSE)</f>
        <v>1259</v>
      </c>
      <c r="P588">
        <f>IFERROR(VLOOKUP(C588, Customers!A:C, 3, FALSE), 0)</f>
        <v>41</v>
      </c>
      <c r="Q588">
        <f t="shared" si="9"/>
        <v>0.52669172932330832</v>
      </c>
    </row>
    <row r="589" spans="1:17" x14ac:dyDescent="0.3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  <c r="L589" t="str">
        <f>VLOOKUP(D589, Products!A:C, 3, FALSE)</f>
        <v>Grocery</v>
      </c>
      <c r="M589" t="str">
        <f>IFERROR(VLOOKUP(C589, Customers!A:E, 5, FALSE), "Unknown")</f>
        <v>SMB</v>
      </c>
      <c r="N589" t="str">
        <f>VLOOKUP(E589, Sales_Reps!A:C, 3, FALSE)</f>
        <v>East</v>
      </c>
      <c r="O589">
        <f>VLOOKUP(D589, Products!A:D, 4, FALSE)</f>
        <v>1010</v>
      </c>
      <c r="P589">
        <f>IFERROR(VLOOKUP(C589, Customers!A:C, 3, FALSE), 0)</f>
        <v>40</v>
      </c>
      <c r="Q589">
        <f t="shared" si="9"/>
        <v>0.54298642533936647</v>
      </c>
    </row>
    <row r="590" spans="1:17" x14ac:dyDescent="0.3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  <c r="L590" t="str">
        <f>VLOOKUP(D590, Products!A:C, 3, FALSE)</f>
        <v>Sports</v>
      </c>
      <c r="M590" t="str">
        <f>IFERROR(VLOOKUP(C590, Customers!A:E, 5, FALSE), "Unknown")</f>
        <v>SMB</v>
      </c>
      <c r="N590" t="str">
        <f>VLOOKUP(E590, Sales_Reps!A:C, 3, FALSE)</f>
        <v>South</v>
      </c>
      <c r="O590">
        <f>VLOOKUP(D590, Products!A:D, 4, FALSE)</f>
        <v>1860</v>
      </c>
      <c r="P590">
        <f>IFERROR(VLOOKUP(C590, Customers!A:C, 3, FALSE), 0)</f>
        <v>44</v>
      </c>
      <c r="Q590">
        <f t="shared" si="9"/>
        <v>0.50793650793650791</v>
      </c>
    </row>
    <row r="591" spans="1:17" x14ac:dyDescent="0.3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  <c r="L591" t="str">
        <f>VLOOKUP(D591, Products!A:C, 3, FALSE)</f>
        <v>Home</v>
      </c>
      <c r="M591" t="str">
        <f>IFERROR(VLOOKUP(C591, Customers!A:E, 5, FALSE), "Unknown")</f>
        <v>Retail</v>
      </c>
      <c r="N591" t="str">
        <f>VLOOKUP(E591, Sales_Reps!A:C, 3, FALSE)</f>
        <v>West</v>
      </c>
      <c r="O591">
        <f>VLOOKUP(D591, Products!A:D, 4, FALSE)</f>
        <v>2549</v>
      </c>
      <c r="P591">
        <f>IFERROR(VLOOKUP(C591, Customers!A:C, 3, FALSE), 0)</f>
        <v>31</v>
      </c>
      <c r="Q591">
        <f t="shared" si="9"/>
        <v>0.53570127504553733</v>
      </c>
    </row>
    <row r="592" spans="1:17" x14ac:dyDescent="0.3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  <c r="L592" t="str">
        <f>VLOOKUP(D592, Products!A:C, 3, FALSE)</f>
        <v>Electronics</v>
      </c>
      <c r="M592" t="str">
        <f>IFERROR(VLOOKUP(C592, Customers!A:E, 5, FALSE), "Unknown")</f>
        <v>SMB</v>
      </c>
      <c r="N592" t="str">
        <f>VLOOKUP(E592, Sales_Reps!A:C, 3, FALSE)</f>
        <v>South</v>
      </c>
      <c r="O592">
        <f>VLOOKUP(D592, Products!A:D, 4, FALSE)</f>
        <v>1259</v>
      </c>
      <c r="P592">
        <f>IFERROR(VLOOKUP(C592, Customers!A:C, 3, FALSE), 0)</f>
        <v>39</v>
      </c>
      <c r="Q592">
        <f t="shared" si="9"/>
        <v>0.52669172932330832</v>
      </c>
    </row>
    <row r="593" spans="1:17" x14ac:dyDescent="0.3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  <c r="L593" t="str">
        <f>VLOOKUP(D593, Products!A:C, 3, FALSE)</f>
        <v>Sports</v>
      </c>
      <c r="M593" t="str">
        <f>IFERROR(VLOOKUP(C593, Customers!A:E, 5, FALSE), "Unknown")</f>
        <v>Retail</v>
      </c>
      <c r="N593" t="str">
        <f>VLOOKUP(E593, Sales_Reps!A:C, 3, FALSE)</f>
        <v>West</v>
      </c>
      <c r="O593">
        <f>VLOOKUP(D593, Products!A:D, 4, FALSE)</f>
        <v>2827</v>
      </c>
      <c r="P593">
        <f>IFERROR(VLOOKUP(C593, Customers!A:C, 3, FALSE), 0)</f>
        <v>59</v>
      </c>
      <c r="Q593">
        <f t="shared" si="9"/>
        <v>0.5926512968299712</v>
      </c>
    </row>
    <row r="594" spans="1:17" x14ac:dyDescent="0.3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  <c r="L594" t="str">
        <f>VLOOKUP(D594, Products!A:C, 3, FALSE)</f>
        <v>Electronics</v>
      </c>
      <c r="M594" t="str">
        <f>IFERROR(VLOOKUP(C594, Customers!A:E, 5, FALSE), "Unknown")</f>
        <v>Corporate</v>
      </c>
      <c r="N594" t="str">
        <f>VLOOKUP(E594, Sales_Reps!A:C, 3, FALSE)</f>
        <v>North</v>
      </c>
      <c r="O594">
        <f>VLOOKUP(D594, Products!A:D, 4, FALSE)</f>
        <v>1559</v>
      </c>
      <c r="P594">
        <f>IFERROR(VLOOKUP(C594, Customers!A:C, 3, FALSE), 0)</f>
        <v>47</v>
      </c>
      <c r="Q594">
        <f t="shared" si="9"/>
        <v>0.59715762273901807</v>
      </c>
    </row>
    <row r="595" spans="1:17" x14ac:dyDescent="0.3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  <c r="L595" t="str">
        <f>VLOOKUP(D595, Products!A:C, 3, FALSE)</f>
        <v>Home</v>
      </c>
      <c r="M595" t="str">
        <f>IFERROR(VLOOKUP(C595, Customers!A:E, 5, FALSE), "Unknown")</f>
        <v>Retail</v>
      </c>
      <c r="N595" t="str">
        <f>VLOOKUP(E595, Sales_Reps!A:C, 3, FALSE)</f>
        <v>North</v>
      </c>
      <c r="O595">
        <f>VLOOKUP(D595, Products!A:D, 4, FALSE)</f>
        <v>464</v>
      </c>
      <c r="P595">
        <f>IFERROR(VLOOKUP(C595, Customers!A:C, 3, FALSE), 0)</f>
        <v>41</v>
      </c>
      <c r="Q595">
        <f t="shared" si="9"/>
        <v>0.57431192660550456</v>
      </c>
    </row>
    <row r="596" spans="1:17" x14ac:dyDescent="0.3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  <c r="L596" t="str">
        <f>VLOOKUP(D596, Products!A:C, 3, FALSE)</f>
        <v>Electronics</v>
      </c>
      <c r="M596" t="str">
        <f>IFERROR(VLOOKUP(C596, Customers!A:E, 5, FALSE), "Unknown")</f>
        <v>Retail</v>
      </c>
      <c r="N596" t="str">
        <f>VLOOKUP(E596, Sales_Reps!A:C, 3, FALSE)</f>
        <v>North</v>
      </c>
      <c r="O596">
        <f>VLOOKUP(D596, Products!A:D, 4, FALSE)</f>
        <v>1052</v>
      </c>
      <c r="P596">
        <f>IFERROR(VLOOKUP(C596, Customers!A:C, 3, FALSE), 0)</f>
        <v>61</v>
      </c>
      <c r="Q596">
        <f t="shared" si="9"/>
        <v>0.5953846153846154</v>
      </c>
    </row>
    <row r="597" spans="1:17" x14ac:dyDescent="0.3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  <c r="L597" t="str">
        <f>VLOOKUP(D597, Products!A:C, 3, FALSE)</f>
        <v>Sports</v>
      </c>
      <c r="M597" t="str">
        <f>IFERROR(VLOOKUP(C597, Customers!A:E, 5, FALSE), "Unknown")</f>
        <v>SMB</v>
      </c>
      <c r="N597" t="str">
        <f>VLOOKUP(E597, Sales_Reps!A:C, 3, FALSE)</f>
        <v>East</v>
      </c>
      <c r="O597">
        <f>VLOOKUP(D597, Products!A:D, 4, FALSE)</f>
        <v>705</v>
      </c>
      <c r="P597">
        <f>IFERROR(VLOOKUP(C597, Customers!A:C, 3, FALSE), 0)</f>
        <v>59</v>
      </c>
      <c r="Q597">
        <f t="shared" si="9"/>
        <v>0.265625</v>
      </c>
    </row>
    <row r="598" spans="1:17" x14ac:dyDescent="0.3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  <c r="L598" t="str">
        <f>VLOOKUP(D598, Products!A:C, 3, FALSE)</f>
        <v>Home</v>
      </c>
      <c r="M598" t="str">
        <f>IFERROR(VLOOKUP(C598, Customers!A:E, 5, FALSE), "Unknown")</f>
        <v>Retail</v>
      </c>
      <c r="N598" t="str">
        <f>VLOOKUP(E598, Sales_Reps!A:C, 3, FALSE)</f>
        <v>West</v>
      </c>
      <c r="O598">
        <f>VLOOKUP(D598, Products!A:D, 4, FALSE)</f>
        <v>288</v>
      </c>
      <c r="P598">
        <f>IFERROR(VLOOKUP(C598, Customers!A:C, 3, FALSE), 0)</f>
        <v>54</v>
      </c>
      <c r="Q598">
        <f t="shared" si="9"/>
        <v>0.22162162162162163</v>
      </c>
    </row>
    <row r="599" spans="1:17" x14ac:dyDescent="0.3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  <c r="L599" t="str">
        <f>VLOOKUP(D599, Products!A:C, 3, FALSE)</f>
        <v>Home</v>
      </c>
      <c r="M599" t="str">
        <f>IFERROR(VLOOKUP(C599, Customers!A:E, 5, FALSE), "Unknown")</f>
        <v>SMB</v>
      </c>
      <c r="N599" t="str">
        <f>VLOOKUP(E599, Sales_Reps!A:C, 3, FALSE)</f>
        <v>North</v>
      </c>
      <c r="O599">
        <f>VLOOKUP(D599, Products!A:D, 4, FALSE)</f>
        <v>2459</v>
      </c>
      <c r="P599">
        <f>IFERROR(VLOOKUP(C599, Customers!A:C, 3, FALSE), 0)</f>
        <v>34</v>
      </c>
      <c r="Q599">
        <f t="shared" si="9"/>
        <v>0.51594488188976373</v>
      </c>
    </row>
    <row r="600" spans="1:17" x14ac:dyDescent="0.3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  <c r="L600" t="str">
        <f>VLOOKUP(D600, Products!A:C, 3, FALSE)</f>
        <v>Beauty</v>
      </c>
      <c r="M600" t="str">
        <f>IFERROR(VLOOKUP(C600, Customers!A:E, 5, FALSE), "Unknown")</f>
        <v>Retail</v>
      </c>
      <c r="N600" t="str">
        <f>VLOOKUP(E600, Sales_Reps!A:C, 3, FALSE)</f>
        <v>North</v>
      </c>
      <c r="O600">
        <f>VLOOKUP(D600, Products!A:D, 4, FALSE)</f>
        <v>647</v>
      </c>
      <c r="P600">
        <f>IFERROR(VLOOKUP(C600, Customers!A:C, 3, FALSE), 0)</f>
        <v>62</v>
      </c>
      <c r="Q600">
        <f t="shared" si="9"/>
        <v>0.57987012987012987</v>
      </c>
    </row>
    <row r="601" spans="1:17" x14ac:dyDescent="0.3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  <c r="L601" t="str">
        <f>VLOOKUP(D601, Products!A:C, 3, FALSE)</f>
        <v>Grocery</v>
      </c>
      <c r="M601" t="str">
        <f>IFERROR(VLOOKUP(C601, Customers!A:E, 5, FALSE), "Unknown")</f>
        <v>Retail</v>
      </c>
      <c r="N601" t="str">
        <f>VLOOKUP(E601, Sales_Reps!A:C, 3, FALSE)</f>
        <v>South</v>
      </c>
      <c r="O601">
        <f>VLOOKUP(D601, Products!A:D, 4, FALSE)</f>
        <v>1203</v>
      </c>
      <c r="P601">
        <f>IFERROR(VLOOKUP(C601, Customers!A:C, 3, FALSE), 0)</f>
        <v>37</v>
      </c>
      <c r="Q601">
        <f t="shared" si="9"/>
        <v>0.47004405286343615</v>
      </c>
    </row>
    <row r="602" spans="1:17" x14ac:dyDescent="0.3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  <c r="L602" t="str">
        <f>VLOOKUP(D602, Products!A:C, 3, FALSE)</f>
        <v>Sports</v>
      </c>
      <c r="M602" t="str">
        <f>IFERROR(VLOOKUP(C602, Customers!A:E, 5, FALSE), "Unknown")</f>
        <v>Retail</v>
      </c>
      <c r="N602" t="str">
        <f>VLOOKUP(E602, Sales_Reps!A:C, 3, FALSE)</f>
        <v>South</v>
      </c>
      <c r="O602">
        <f>VLOOKUP(D602, Products!A:D, 4, FALSE)</f>
        <v>705</v>
      </c>
      <c r="P602">
        <f>IFERROR(VLOOKUP(C602, Customers!A:C, 3, FALSE), 0)</f>
        <v>52</v>
      </c>
      <c r="Q602">
        <f t="shared" si="9"/>
        <v>0.265625</v>
      </c>
    </row>
    <row r="603" spans="1:17" x14ac:dyDescent="0.3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  <c r="L603" t="str">
        <f>VLOOKUP(D603, Products!A:C, 3, FALSE)</f>
        <v>Electronics</v>
      </c>
      <c r="M603" t="str">
        <f>IFERROR(VLOOKUP(C603, Customers!A:E, 5, FALSE), "Unknown")</f>
        <v>SMB</v>
      </c>
      <c r="N603" t="str">
        <f>VLOOKUP(E603, Sales_Reps!A:C, 3, FALSE)</f>
        <v>West</v>
      </c>
      <c r="O603">
        <f>VLOOKUP(D603, Products!A:D, 4, FALSE)</f>
        <v>861</v>
      </c>
      <c r="P603">
        <f>IFERROR(VLOOKUP(C603, Customers!A:C, 3, FALSE), 0)</f>
        <v>53</v>
      </c>
      <c r="Q603">
        <f t="shared" si="9"/>
        <v>0.39790209790209791</v>
      </c>
    </row>
    <row r="604" spans="1:17" x14ac:dyDescent="0.3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  <c r="L604" t="str">
        <f>VLOOKUP(D604, Products!A:C, 3, FALSE)</f>
        <v>Beauty</v>
      </c>
      <c r="M604" t="str">
        <f>IFERROR(VLOOKUP(C604, Customers!A:E, 5, FALSE), "Unknown")</f>
        <v>Retail</v>
      </c>
      <c r="N604" t="str">
        <f>VLOOKUP(E604, Sales_Reps!A:C, 3, FALSE)</f>
        <v>North</v>
      </c>
      <c r="O604">
        <f>VLOOKUP(D604, Products!A:D, 4, FALSE)</f>
        <v>2420</v>
      </c>
      <c r="P604">
        <f>IFERROR(VLOOKUP(C604, Customers!A:C, 3, FALSE), 0)</f>
        <v>29</v>
      </c>
      <c r="Q604">
        <f t="shared" si="9"/>
        <v>0.29855072463768118</v>
      </c>
    </row>
    <row r="605" spans="1:17" x14ac:dyDescent="0.3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  <c r="L605" t="str">
        <f>VLOOKUP(D605, Products!A:C, 3, FALSE)</f>
        <v>Electronics</v>
      </c>
      <c r="M605" t="str">
        <f>IFERROR(VLOOKUP(C605, Customers!A:E, 5, FALSE), "Unknown")</f>
        <v>SMB</v>
      </c>
      <c r="N605" t="str">
        <f>VLOOKUP(E605, Sales_Reps!A:C, 3, FALSE)</f>
        <v>West</v>
      </c>
      <c r="O605">
        <f>VLOOKUP(D605, Products!A:D, 4, FALSE)</f>
        <v>517</v>
      </c>
      <c r="P605">
        <f>IFERROR(VLOOKUP(C605, Customers!A:C, 3, FALSE), 0)</f>
        <v>30</v>
      </c>
      <c r="Q605">
        <f t="shared" si="9"/>
        <v>0.57622950819672136</v>
      </c>
    </row>
    <row r="606" spans="1:17" x14ac:dyDescent="0.3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  <c r="L606" t="str">
        <f>VLOOKUP(D606, Products!A:C, 3, FALSE)</f>
        <v>Grocery</v>
      </c>
      <c r="M606" t="str">
        <f>IFERROR(VLOOKUP(C606, Customers!A:E, 5, FALSE), "Unknown")</f>
        <v>Retail</v>
      </c>
      <c r="N606" t="str">
        <f>VLOOKUP(E606, Sales_Reps!A:C, 3, FALSE)</f>
        <v>East</v>
      </c>
      <c r="O606">
        <f>VLOOKUP(D606, Products!A:D, 4, FALSE)</f>
        <v>1435</v>
      </c>
      <c r="P606">
        <f>IFERROR(VLOOKUP(C606, Customers!A:C, 3, FALSE), 0)</f>
        <v>47</v>
      </c>
      <c r="Q606">
        <f t="shared" si="9"/>
        <v>0.48007246376811596</v>
      </c>
    </row>
    <row r="607" spans="1:17" x14ac:dyDescent="0.3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  <c r="L607" t="str">
        <f>VLOOKUP(D607, Products!A:C, 3, FALSE)</f>
        <v>Beauty</v>
      </c>
      <c r="M607" t="str">
        <f>IFERROR(VLOOKUP(C607, Customers!A:E, 5, FALSE), "Unknown")</f>
        <v>SMB</v>
      </c>
      <c r="N607" t="str">
        <f>VLOOKUP(E607, Sales_Reps!A:C, 3, FALSE)</f>
        <v>East</v>
      </c>
      <c r="O607">
        <f>VLOOKUP(D607, Products!A:D, 4, FALSE)</f>
        <v>1728</v>
      </c>
      <c r="P607">
        <f>IFERROR(VLOOKUP(C607, Customers!A:C, 3, FALSE), 0)</f>
        <v>54</v>
      </c>
      <c r="Q607">
        <f t="shared" si="9"/>
        <v>0.48417910447761192</v>
      </c>
    </row>
    <row r="608" spans="1:17" x14ac:dyDescent="0.3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  <c r="L608" t="str">
        <f>VLOOKUP(D608, Products!A:C, 3, FALSE)</f>
        <v>Beauty</v>
      </c>
      <c r="M608" t="str">
        <f>IFERROR(VLOOKUP(C608, Customers!A:E, 5, FALSE), "Unknown")</f>
        <v>SMB</v>
      </c>
      <c r="N608" t="str">
        <f>VLOOKUP(E608, Sales_Reps!A:C, 3, FALSE)</f>
        <v>South</v>
      </c>
      <c r="O608">
        <f>VLOOKUP(D608, Products!A:D, 4, FALSE)</f>
        <v>2237</v>
      </c>
      <c r="P608">
        <f>IFERROR(VLOOKUP(C608, Customers!A:C, 3, FALSE), 0)</f>
        <v>34</v>
      </c>
      <c r="Q608">
        <f t="shared" si="9"/>
        <v>0.56137254901960787</v>
      </c>
    </row>
    <row r="609" spans="1:17" x14ac:dyDescent="0.3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  <c r="L609" t="str">
        <f>VLOOKUP(D609, Products!A:C, 3, FALSE)</f>
        <v>Electronics</v>
      </c>
      <c r="M609" t="str">
        <f>IFERROR(VLOOKUP(C609, Customers!A:E, 5, FALSE), "Unknown")</f>
        <v>Retail</v>
      </c>
      <c r="N609" t="str">
        <f>VLOOKUP(E609, Sales_Reps!A:C, 3, FALSE)</f>
        <v>West</v>
      </c>
      <c r="O609">
        <f>VLOOKUP(D609, Products!A:D, 4, FALSE)</f>
        <v>1149</v>
      </c>
      <c r="P609">
        <f>IFERROR(VLOOKUP(C609, Customers!A:C, 3, FALSE), 0)</f>
        <v>49</v>
      </c>
      <c r="Q609">
        <f t="shared" si="9"/>
        <v>0.56477272727272732</v>
      </c>
    </row>
    <row r="610" spans="1:17" x14ac:dyDescent="0.3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  <c r="L610" t="str">
        <f>VLOOKUP(D610, Products!A:C, 3, FALSE)</f>
        <v>Grocery</v>
      </c>
      <c r="M610" t="str">
        <f>IFERROR(VLOOKUP(C610, Customers!A:E, 5, FALSE), "Unknown")</f>
        <v>Retail</v>
      </c>
      <c r="N610" t="str">
        <f>VLOOKUP(E610, Sales_Reps!A:C, 3, FALSE)</f>
        <v>South</v>
      </c>
      <c r="O610">
        <f>VLOOKUP(D610, Products!A:D, 4, FALSE)</f>
        <v>2214</v>
      </c>
      <c r="P610">
        <f>IFERROR(VLOOKUP(C610, Customers!A:C, 3, FALSE), 0)</f>
        <v>39</v>
      </c>
      <c r="Q610">
        <f t="shared" si="9"/>
        <v>0.39508196721311473</v>
      </c>
    </row>
    <row r="611" spans="1:17" x14ac:dyDescent="0.3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  <c r="L611" t="str">
        <f>VLOOKUP(D611, Products!A:C, 3, FALSE)</f>
        <v>Home</v>
      </c>
      <c r="M611" t="str">
        <f>IFERROR(VLOOKUP(C611, Customers!A:E, 5, FALSE), "Unknown")</f>
        <v>Retail</v>
      </c>
      <c r="N611" t="str">
        <f>VLOOKUP(E611, Sales_Reps!A:C, 3, FALSE)</f>
        <v>West</v>
      </c>
      <c r="O611">
        <f>VLOOKUP(D611, Products!A:D, 4, FALSE)</f>
        <v>288</v>
      </c>
      <c r="P611">
        <f>IFERROR(VLOOKUP(C611, Customers!A:C, 3, FALSE), 0)</f>
        <v>44</v>
      </c>
      <c r="Q611">
        <f t="shared" si="9"/>
        <v>0.22162162162162163</v>
      </c>
    </row>
    <row r="612" spans="1:17" x14ac:dyDescent="0.3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  <c r="L612" t="str">
        <f>VLOOKUP(D612, Products!A:C, 3, FALSE)</f>
        <v>Apparel</v>
      </c>
      <c r="M612" t="str">
        <f>IFERROR(VLOOKUP(C612, Customers!A:E, 5, FALSE), "Unknown")</f>
        <v>SMB</v>
      </c>
      <c r="N612" t="str">
        <f>VLOOKUP(E612, Sales_Reps!A:C, 3, FALSE)</f>
        <v>West</v>
      </c>
      <c r="O612">
        <f>VLOOKUP(D612, Products!A:D, 4, FALSE)</f>
        <v>396</v>
      </c>
      <c r="P612">
        <f>IFERROR(VLOOKUP(C612, Customers!A:C, 3, FALSE), 0)</f>
        <v>28</v>
      </c>
      <c r="Q612">
        <f t="shared" si="9"/>
        <v>0.36129032258064514</v>
      </c>
    </row>
    <row r="613" spans="1:17" x14ac:dyDescent="0.3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  <c r="L613" t="str">
        <f>VLOOKUP(D613, Products!A:C, 3, FALSE)</f>
        <v>Sports</v>
      </c>
      <c r="M613" t="str">
        <f>IFERROR(VLOOKUP(C613, Customers!A:E, 5, FALSE), "Unknown")</f>
        <v>Retail</v>
      </c>
      <c r="N613" t="str">
        <f>VLOOKUP(E613, Sales_Reps!A:C, 3, FALSE)</f>
        <v>East</v>
      </c>
      <c r="O613">
        <f>VLOOKUP(D613, Products!A:D, 4, FALSE)</f>
        <v>302</v>
      </c>
      <c r="P613">
        <f>IFERROR(VLOOKUP(C613, Customers!A:C, 3, FALSE), 0)</f>
        <v>65</v>
      </c>
      <c r="Q613">
        <f t="shared" si="9"/>
        <v>0.35744680851063831</v>
      </c>
    </row>
    <row r="614" spans="1:17" x14ac:dyDescent="0.3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  <c r="L614" t="str">
        <f>VLOOKUP(D614, Products!A:C, 3, FALSE)</f>
        <v>Beauty</v>
      </c>
      <c r="M614" t="str">
        <f>IFERROR(VLOOKUP(C614, Customers!A:E, 5, FALSE), "Unknown")</f>
        <v>Retail</v>
      </c>
      <c r="N614" t="str">
        <f>VLOOKUP(E614, Sales_Reps!A:C, 3, FALSE)</f>
        <v>North</v>
      </c>
      <c r="O614">
        <f>VLOOKUP(D614, Products!A:D, 4, FALSE)</f>
        <v>1219</v>
      </c>
      <c r="P614">
        <f>IFERROR(VLOOKUP(C614, Customers!A:C, 3, FALSE), 0)</f>
        <v>40</v>
      </c>
      <c r="Q614">
        <f t="shared" si="9"/>
        <v>0.46768558951965067</v>
      </c>
    </row>
    <row r="615" spans="1:17" x14ac:dyDescent="0.3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  <c r="L615" t="str">
        <f>VLOOKUP(D615, Products!A:C, 3, FALSE)</f>
        <v>Sports</v>
      </c>
      <c r="M615" t="str">
        <f>IFERROR(VLOOKUP(C615, Customers!A:E, 5, FALSE), "Unknown")</f>
        <v>SMB</v>
      </c>
      <c r="N615" t="str">
        <f>VLOOKUP(E615, Sales_Reps!A:C, 3, FALSE)</f>
        <v>West</v>
      </c>
      <c r="O615">
        <f>VLOOKUP(D615, Products!A:D, 4, FALSE)</f>
        <v>705</v>
      </c>
      <c r="P615">
        <f>IFERROR(VLOOKUP(C615, Customers!A:C, 3, FALSE), 0)</f>
        <v>53</v>
      </c>
      <c r="Q615">
        <f t="shared" si="9"/>
        <v>0.265625</v>
      </c>
    </row>
    <row r="616" spans="1:17" x14ac:dyDescent="0.3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  <c r="L616" t="str">
        <f>VLOOKUP(D616, Products!A:C, 3, FALSE)</f>
        <v>Grocery</v>
      </c>
      <c r="M616" t="str">
        <f>IFERROR(VLOOKUP(C616, Customers!A:E, 5, FALSE), "Unknown")</f>
        <v>Retail</v>
      </c>
      <c r="N616" t="str">
        <f>VLOOKUP(E616, Sales_Reps!A:C, 3, FALSE)</f>
        <v>South</v>
      </c>
      <c r="O616">
        <f>VLOOKUP(D616, Products!A:D, 4, FALSE)</f>
        <v>2214</v>
      </c>
      <c r="P616">
        <f>IFERROR(VLOOKUP(C616, Customers!A:C, 3, FALSE), 0)</f>
        <v>65</v>
      </c>
      <c r="Q616">
        <f t="shared" si="9"/>
        <v>0.39508196721311473</v>
      </c>
    </row>
    <row r="617" spans="1:17" x14ac:dyDescent="0.3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  <c r="L617" t="str">
        <f>VLOOKUP(D617, Products!A:C, 3, FALSE)</f>
        <v>Electronics</v>
      </c>
      <c r="M617" t="str">
        <f>IFERROR(VLOOKUP(C617, Customers!A:E, 5, FALSE), "Unknown")</f>
        <v>SMB</v>
      </c>
      <c r="N617" t="str">
        <f>VLOOKUP(E617, Sales_Reps!A:C, 3, FALSE)</f>
        <v>East</v>
      </c>
      <c r="O617">
        <f>VLOOKUP(D617, Products!A:D, 4, FALSE)</f>
        <v>1665</v>
      </c>
      <c r="P617">
        <f>IFERROR(VLOOKUP(C617, Customers!A:C, 3, FALSE), 0)</f>
        <v>65</v>
      </c>
      <c r="Q617">
        <f t="shared" si="9"/>
        <v>0.53361344537815125</v>
      </c>
    </row>
    <row r="618" spans="1:17" x14ac:dyDescent="0.3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  <c r="L618" t="str">
        <f>VLOOKUP(D618, Products!A:C, 3, FALSE)</f>
        <v>Home</v>
      </c>
      <c r="M618" t="str">
        <f>IFERROR(VLOOKUP(C618, Customers!A:E, 5, FALSE), "Unknown")</f>
        <v>Retail</v>
      </c>
      <c r="N618" t="str">
        <f>VLOOKUP(E618, Sales_Reps!A:C, 3, FALSE)</f>
        <v>East</v>
      </c>
      <c r="O618">
        <f>VLOOKUP(D618, Products!A:D, 4, FALSE)</f>
        <v>1143</v>
      </c>
      <c r="P618">
        <f>IFERROR(VLOOKUP(C618, Customers!A:C, 3, FALSE), 0)</f>
        <v>36</v>
      </c>
      <c r="Q618">
        <f t="shared" si="9"/>
        <v>0.43694581280788175</v>
      </c>
    </row>
    <row r="619" spans="1:17" x14ac:dyDescent="0.3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  <c r="L619" t="str">
        <f>VLOOKUP(D619, Products!A:C, 3, FALSE)</f>
        <v>Apparel</v>
      </c>
      <c r="M619" t="str">
        <f>IFERROR(VLOOKUP(C619, Customers!A:E, 5, FALSE), "Unknown")</f>
        <v>SMB</v>
      </c>
      <c r="N619" t="str">
        <f>VLOOKUP(E619, Sales_Reps!A:C, 3, FALSE)</f>
        <v>West</v>
      </c>
      <c r="O619">
        <f>VLOOKUP(D619, Products!A:D, 4, FALSE)</f>
        <v>1962</v>
      </c>
      <c r="P619">
        <f>IFERROR(VLOOKUP(C619, Customers!A:C, 3, FALSE), 0)</f>
        <v>44</v>
      </c>
      <c r="Q619">
        <f t="shared" si="9"/>
        <v>0.2786764705882353</v>
      </c>
    </row>
    <row r="620" spans="1:17" x14ac:dyDescent="0.3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  <c r="L620" t="str">
        <f>VLOOKUP(D620, Products!A:C, 3, FALSE)</f>
        <v>Electronics</v>
      </c>
      <c r="M620" t="str">
        <f>IFERROR(VLOOKUP(C620, Customers!A:E, 5, FALSE), "Unknown")</f>
        <v>Retail</v>
      </c>
      <c r="N620" t="str">
        <f>VLOOKUP(E620, Sales_Reps!A:C, 3, FALSE)</f>
        <v>North</v>
      </c>
      <c r="O620">
        <f>VLOOKUP(D620, Products!A:D, 4, FALSE)</f>
        <v>1665</v>
      </c>
      <c r="P620">
        <f>IFERROR(VLOOKUP(C620, Customers!A:C, 3, FALSE), 0)</f>
        <v>56</v>
      </c>
      <c r="Q620">
        <f t="shared" si="9"/>
        <v>0.53361344537815125</v>
      </c>
    </row>
    <row r="621" spans="1:17" x14ac:dyDescent="0.3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  <c r="L621" t="str">
        <f>VLOOKUP(D621, Products!A:C, 3, FALSE)</f>
        <v>Sports</v>
      </c>
      <c r="M621" t="str">
        <f>IFERROR(VLOOKUP(C621, Customers!A:E, 5, FALSE), "Unknown")</f>
        <v>Retail</v>
      </c>
      <c r="N621" t="str">
        <f>VLOOKUP(E621, Sales_Reps!A:C, 3, FALSE)</f>
        <v>North</v>
      </c>
      <c r="O621">
        <f>VLOOKUP(D621, Products!A:D, 4, FALSE)</f>
        <v>974</v>
      </c>
      <c r="P621">
        <f>IFERROR(VLOOKUP(C621, Customers!A:C, 3, FALSE), 0)</f>
        <v>36</v>
      </c>
      <c r="Q621">
        <f t="shared" si="9"/>
        <v>0.59416666666666662</v>
      </c>
    </row>
    <row r="622" spans="1:17" x14ac:dyDescent="0.3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  <c r="L622" t="str">
        <f>VLOOKUP(D622, Products!A:C, 3, FALSE)</f>
        <v>Grocery</v>
      </c>
      <c r="M622" t="str">
        <f>IFERROR(VLOOKUP(C622, Customers!A:E, 5, FALSE), "Unknown")</f>
        <v>SMB</v>
      </c>
      <c r="N622" t="str">
        <f>VLOOKUP(E622, Sales_Reps!A:C, 3, FALSE)</f>
        <v>North</v>
      </c>
      <c r="O622">
        <f>VLOOKUP(D622, Products!A:D, 4, FALSE)</f>
        <v>1203</v>
      </c>
      <c r="P622">
        <f>IFERROR(VLOOKUP(C622, Customers!A:C, 3, FALSE), 0)</f>
        <v>53</v>
      </c>
      <c r="Q622">
        <f t="shared" si="9"/>
        <v>0.47004405286343615</v>
      </c>
    </row>
    <row r="623" spans="1:17" x14ac:dyDescent="0.3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  <c r="L623" t="str">
        <f>VLOOKUP(D623, Products!A:C, 3, FALSE)</f>
        <v>Grocery</v>
      </c>
      <c r="M623" t="str">
        <f>IFERROR(VLOOKUP(C623, Customers!A:E, 5, FALSE), "Unknown")</f>
        <v>Corporate</v>
      </c>
      <c r="N623" t="str">
        <f>VLOOKUP(E623, Sales_Reps!A:C, 3, FALSE)</f>
        <v>South</v>
      </c>
      <c r="O623">
        <f>VLOOKUP(D623, Products!A:D, 4, FALSE)</f>
        <v>434</v>
      </c>
      <c r="P623">
        <f>IFERROR(VLOOKUP(C623, Customers!A:C, 3, FALSE), 0)</f>
        <v>46</v>
      </c>
      <c r="Q623">
        <f t="shared" si="9"/>
        <v>0.5525773195876289</v>
      </c>
    </row>
    <row r="624" spans="1:17" x14ac:dyDescent="0.3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  <c r="L624" t="str">
        <f>VLOOKUP(D624, Products!A:C, 3, FALSE)</f>
        <v>Sports</v>
      </c>
      <c r="M624" t="str">
        <f>IFERROR(VLOOKUP(C624, Customers!A:E, 5, FALSE), "Unknown")</f>
        <v>SMB</v>
      </c>
      <c r="N624" t="str">
        <f>VLOOKUP(E624, Sales_Reps!A:C, 3, FALSE)</f>
        <v>East</v>
      </c>
      <c r="O624">
        <f>VLOOKUP(D624, Products!A:D, 4, FALSE)</f>
        <v>2827</v>
      </c>
      <c r="P624">
        <f>IFERROR(VLOOKUP(C624, Customers!A:C, 3, FALSE), 0)</f>
        <v>43</v>
      </c>
      <c r="Q624">
        <f t="shared" si="9"/>
        <v>0.5926512968299712</v>
      </c>
    </row>
    <row r="625" spans="1:17" x14ac:dyDescent="0.3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  <c r="L625" t="str">
        <f>VLOOKUP(D625, Products!A:C, 3, FALSE)</f>
        <v>Sports</v>
      </c>
      <c r="M625" t="str">
        <f>IFERROR(VLOOKUP(C625, Customers!A:E, 5, FALSE), "Unknown")</f>
        <v>Retail</v>
      </c>
      <c r="N625" t="str">
        <f>VLOOKUP(E625, Sales_Reps!A:C, 3, FALSE)</f>
        <v>South</v>
      </c>
      <c r="O625">
        <f>VLOOKUP(D625, Products!A:D, 4, FALSE)</f>
        <v>2827</v>
      </c>
      <c r="P625">
        <f>IFERROR(VLOOKUP(C625, Customers!A:C, 3, FALSE), 0)</f>
        <v>53</v>
      </c>
      <c r="Q625">
        <f t="shared" si="9"/>
        <v>0.5926512968299712</v>
      </c>
    </row>
    <row r="626" spans="1:17" x14ac:dyDescent="0.3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  <c r="L626" t="str">
        <f>VLOOKUP(D626, Products!A:C, 3, FALSE)</f>
        <v>Sports</v>
      </c>
      <c r="M626" t="str">
        <f>IFERROR(VLOOKUP(C626, Customers!A:E, 5, FALSE), "Unknown")</f>
        <v>Retail</v>
      </c>
      <c r="N626" t="str">
        <f>VLOOKUP(E626, Sales_Reps!A:C, 3, FALSE)</f>
        <v>North</v>
      </c>
      <c r="O626">
        <f>VLOOKUP(D626, Products!A:D, 4, FALSE)</f>
        <v>516</v>
      </c>
      <c r="P626">
        <f>IFERROR(VLOOKUP(C626, Customers!A:C, 3, FALSE), 0)</f>
        <v>25</v>
      </c>
      <c r="Q626">
        <f t="shared" si="9"/>
        <v>0.4891089108910891</v>
      </c>
    </row>
    <row r="627" spans="1:17" x14ac:dyDescent="0.3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  <c r="L627" t="str">
        <f>VLOOKUP(D627, Products!A:C, 3, FALSE)</f>
        <v>Electronics</v>
      </c>
      <c r="M627" t="str">
        <f>IFERROR(VLOOKUP(C627, Customers!A:E, 5, FALSE), "Unknown")</f>
        <v>Retail</v>
      </c>
      <c r="N627" t="str">
        <f>VLOOKUP(E627, Sales_Reps!A:C, 3, FALSE)</f>
        <v>North</v>
      </c>
      <c r="O627">
        <f>VLOOKUP(D627, Products!A:D, 4, FALSE)</f>
        <v>1559</v>
      </c>
      <c r="P627">
        <f>IFERROR(VLOOKUP(C627, Customers!A:C, 3, FALSE), 0)</f>
        <v>35</v>
      </c>
      <c r="Q627">
        <f t="shared" si="9"/>
        <v>0.59715762273901807</v>
      </c>
    </row>
    <row r="628" spans="1:17" x14ac:dyDescent="0.3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  <c r="L628" t="str">
        <f>VLOOKUP(D628, Products!A:C, 3, FALSE)</f>
        <v>Beauty</v>
      </c>
      <c r="M628" t="str">
        <f>IFERROR(VLOOKUP(C628, Customers!A:E, 5, FALSE), "Unknown")</f>
        <v>SMB</v>
      </c>
      <c r="N628" t="str">
        <f>VLOOKUP(E628, Sales_Reps!A:C, 3, FALSE)</f>
        <v>South</v>
      </c>
      <c r="O628">
        <f>VLOOKUP(D628, Products!A:D, 4, FALSE)</f>
        <v>2237</v>
      </c>
      <c r="P628">
        <f>IFERROR(VLOOKUP(C628, Customers!A:C, 3, FALSE), 0)</f>
        <v>48</v>
      </c>
      <c r="Q628">
        <f t="shared" si="9"/>
        <v>0.56137254901960787</v>
      </c>
    </row>
    <row r="629" spans="1:17" x14ac:dyDescent="0.3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  <c r="L629" t="str">
        <f>VLOOKUP(D629, Products!A:C, 3, FALSE)</f>
        <v>Apparel</v>
      </c>
      <c r="M629" t="str">
        <f>IFERROR(VLOOKUP(C629, Customers!A:E, 5, FALSE), "Unknown")</f>
        <v>Retail</v>
      </c>
      <c r="N629" t="str">
        <f>VLOOKUP(E629, Sales_Reps!A:C, 3, FALSE)</f>
        <v>North</v>
      </c>
      <c r="O629">
        <f>VLOOKUP(D629, Products!A:D, 4, FALSE)</f>
        <v>1886</v>
      </c>
      <c r="P629">
        <f>IFERROR(VLOOKUP(C629, Customers!A:C, 3, FALSE), 0)</f>
        <v>65</v>
      </c>
      <c r="Q629">
        <f t="shared" si="9"/>
        <v>0.4031645569620253</v>
      </c>
    </row>
    <row r="630" spans="1:17" x14ac:dyDescent="0.3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  <c r="L630" t="str">
        <f>VLOOKUP(D630, Products!A:C, 3, FALSE)</f>
        <v>Grocery</v>
      </c>
      <c r="M630" t="str">
        <f>IFERROR(VLOOKUP(C630, Customers!A:E, 5, FALSE), "Unknown")</f>
        <v>SMB</v>
      </c>
      <c r="N630" t="str">
        <f>VLOOKUP(E630, Sales_Reps!A:C, 3, FALSE)</f>
        <v>South</v>
      </c>
      <c r="O630">
        <f>VLOOKUP(D630, Products!A:D, 4, FALSE)</f>
        <v>1010</v>
      </c>
      <c r="P630">
        <f>IFERROR(VLOOKUP(C630, Customers!A:C, 3, FALSE), 0)</f>
        <v>47</v>
      </c>
      <c r="Q630">
        <f t="shared" si="9"/>
        <v>0.54298642533936647</v>
      </c>
    </row>
    <row r="631" spans="1:17" x14ac:dyDescent="0.3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  <c r="L631" t="str">
        <f>VLOOKUP(D631, Products!A:C, 3, FALSE)</f>
        <v>Apparel</v>
      </c>
      <c r="M631" t="str">
        <f>IFERROR(VLOOKUP(C631, Customers!A:E, 5, FALSE), "Unknown")</f>
        <v>SMB</v>
      </c>
      <c r="N631" t="str">
        <f>VLOOKUP(E631, Sales_Reps!A:C, 3, FALSE)</f>
        <v>West</v>
      </c>
      <c r="O631">
        <f>VLOOKUP(D631, Products!A:D, 4, FALSE)</f>
        <v>2629</v>
      </c>
      <c r="P631">
        <f>IFERROR(VLOOKUP(C631, Customers!A:C, 3, FALSE), 0)</f>
        <v>53</v>
      </c>
      <c r="Q631">
        <f t="shared" si="9"/>
        <v>0.26151685393258428</v>
      </c>
    </row>
    <row r="632" spans="1:17" x14ac:dyDescent="0.3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  <c r="L632" t="str">
        <f>VLOOKUP(D632, Products!A:C, 3, FALSE)</f>
        <v>Apparel</v>
      </c>
      <c r="M632" t="str">
        <f>IFERROR(VLOOKUP(C632, Customers!A:E, 5, FALSE), "Unknown")</f>
        <v>Retail</v>
      </c>
      <c r="N632" t="str">
        <f>VLOOKUP(E632, Sales_Reps!A:C, 3, FALSE)</f>
        <v>South</v>
      </c>
      <c r="O632">
        <f>VLOOKUP(D632, Products!A:D, 4, FALSE)</f>
        <v>396</v>
      </c>
      <c r="P632">
        <f>IFERROR(VLOOKUP(C632, Customers!A:C, 3, FALSE), 0)</f>
        <v>27</v>
      </c>
      <c r="Q632">
        <f t="shared" si="9"/>
        <v>0.36129032258064514</v>
      </c>
    </row>
    <row r="633" spans="1:17" x14ac:dyDescent="0.3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  <c r="L633" t="str">
        <f>VLOOKUP(D633, Products!A:C, 3, FALSE)</f>
        <v>Grocery</v>
      </c>
      <c r="M633" t="str">
        <f>IFERROR(VLOOKUP(C633, Customers!A:E, 5, FALSE), "Unknown")</f>
        <v>Retail</v>
      </c>
      <c r="N633" t="str">
        <f>VLOOKUP(E633, Sales_Reps!A:C, 3, FALSE)</f>
        <v>North</v>
      </c>
      <c r="O633">
        <f>VLOOKUP(D633, Products!A:D, 4, FALSE)</f>
        <v>1435</v>
      </c>
      <c r="P633">
        <f>IFERROR(VLOOKUP(C633, Customers!A:C, 3, FALSE), 0)</f>
        <v>65</v>
      </c>
      <c r="Q633">
        <f t="shared" si="9"/>
        <v>0.48007246376811596</v>
      </c>
    </row>
    <row r="634" spans="1:17" x14ac:dyDescent="0.3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  <c r="L634" t="str">
        <f>VLOOKUP(D634, Products!A:C, 3, FALSE)</f>
        <v>Sports</v>
      </c>
      <c r="M634" t="str">
        <f>IFERROR(VLOOKUP(C634, Customers!A:E, 5, FALSE), "Unknown")</f>
        <v>SMB</v>
      </c>
      <c r="N634" t="str">
        <f>VLOOKUP(E634, Sales_Reps!A:C, 3, FALSE)</f>
        <v>North</v>
      </c>
      <c r="O634">
        <f>VLOOKUP(D634, Products!A:D, 4, FALSE)</f>
        <v>516</v>
      </c>
      <c r="P634">
        <f>IFERROR(VLOOKUP(C634, Customers!A:C, 3, FALSE), 0)</f>
        <v>50</v>
      </c>
      <c r="Q634">
        <f t="shared" si="9"/>
        <v>0.4891089108910891</v>
      </c>
    </row>
    <row r="635" spans="1:17" x14ac:dyDescent="0.3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  <c r="L635" t="str">
        <f>VLOOKUP(D635, Products!A:C, 3, FALSE)</f>
        <v>Apparel</v>
      </c>
      <c r="M635" t="str">
        <f>IFERROR(VLOOKUP(C635, Customers!A:E, 5, FALSE), "Unknown")</f>
        <v>SMB</v>
      </c>
      <c r="N635" t="str">
        <f>VLOOKUP(E635, Sales_Reps!A:C, 3, FALSE)</f>
        <v>North</v>
      </c>
      <c r="O635">
        <f>VLOOKUP(D635, Products!A:D, 4, FALSE)</f>
        <v>2611</v>
      </c>
      <c r="P635">
        <f>IFERROR(VLOOKUP(C635, Customers!A:C, 3, FALSE), 0)</f>
        <v>40</v>
      </c>
      <c r="Q635">
        <f t="shared" si="9"/>
        <v>0.28269230769230769</v>
      </c>
    </row>
    <row r="636" spans="1:17" x14ac:dyDescent="0.3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  <c r="L636" t="str">
        <f>VLOOKUP(D636, Products!A:C, 3, FALSE)</f>
        <v>Apparel</v>
      </c>
      <c r="M636" t="str">
        <f>IFERROR(VLOOKUP(C636, Customers!A:E, 5, FALSE), "Unknown")</f>
        <v>SMB</v>
      </c>
      <c r="N636" t="str">
        <f>VLOOKUP(E636, Sales_Reps!A:C, 3, FALSE)</f>
        <v>South</v>
      </c>
      <c r="O636">
        <f>VLOOKUP(D636, Products!A:D, 4, FALSE)</f>
        <v>391</v>
      </c>
      <c r="P636">
        <f>IFERROR(VLOOKUP(C636, Customers!A:C, 3, FALSE), 0)</f>
        <v>52</v>
      </c>
      <c r="Q636">
        <f t="shared" si="9"/>
        <v>0.52317073170731709</v>
      </c>
    </row>
    <row r="637" spans="1:17" x14ac:dyDescent="0.3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  <c r="L637" t="str">
        <f>VLOOKUP(D637, Products!A:C, 3, FALSE)</f>
        <v>Apparel</v>
      </c>
      <c r="M637" t="str">
        <f>IFERROR(VLOOKUP(C637, Customers!A:E, 5, FALSE), "Unknown")</f>
        <v>Retail</v>
      </c>
      <c r="N637" t="str">
        <f>VLOOKUP(E637, Sales_Reps!A:C, 3, FALSE)</f>
        <v>South</v>
      </c>
      <c r="O637">
        <f>VLOOKUP(D637, Products!A:D, 4, FALSE)</f>
        <v>2611</v>
      </c>
      <c r="P637">
        <f>IFERROR(VLOOKUP(C637, Customers!A:C, 3, FALSE), 0)</f>
        <v>49</v>
      </c>
      <c r="Q637">
        <f t="shared" si="9"/>
        <v>0.28269230769230769</v>
      </c>
    </row>
    <row r="638" spans="1:17" x14ac:dyDescent="0.3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  <c r="L638" t="str">
        <f>VLOOKUP(D638, Products!A:C, 3, FALSE)</f>
        <v>Grocery</v>
      </c>
      <c r="M638" t="str">
        <f>IFERROR(VLOOKUP(C638, Customers!A:E, 5, FALSE), "Unknown")</f>
        <v>Corporate</v>
      </c>
      <c r="N638" t="str">
        <f>VLOOKUP(E638, Sales_Reps!A:C, 3, FALSE)</f>
        <v>North</v>
      </c>
      <c r="O638">
        <f>VLOOKUP(D638, Products!A:D, 4, FALSE)</f>
        <v>1182</v>
      </c>
      <c r="P638">
        <f>IFERROR(VLOOKUP(C638, Customers!A:C, 3, FALSE), 0)</f>
        <v>42</v>
      </c>
      <c r="Q638">
        <f t="shared" si="9"/>
        <v>0.50336134453781511</v>
      </c>
    </row>
    <row r="639" spans="1:17" x14ac:dyDescent="0.3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  <c r="L639" t="str">
        <f>VLOOKUP(D639, Products!A:C, 3, FALSE)</f>
        <v>Home</v>
      </c>
      <c r="M639" t="str">
        <f>IFERROR(VLOOKUP(C639, Customers!A:E, 5, FALSE), "Unknown")</f>
        <v>Retail</v>
      </c>
      <c r="N639" t="str">
        <f>VLOOKUP(E639, Sales_Reps!A:C, 3, FALSE)</f>
        <v>North</v>
      </c>
      <c r="O639">
        <f>VLOOKUP(D639, Products!A:D, 4, FALSE)</f>
        <v>329</v>
      </c>
      <c r="P639">
        <f>IFERROR(VLOOKUP(C639, Customers!A:C, 3, FALSE), 0)</f>
        <v>36</v>
      </c>
      <c r="Q639">
        <f t="shared" si="9"/>
        <v>0.50151515151515147</v>
      </c>
    </row>
    <row r="640" spans="1:17" x14ac:dyDescent="0.3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  <c r="L640" t="str">
        <f>VLOOKUP(D640, Products!A:C, 3, FALSE)</f>
        <v>Electronics</v>
      </c>
      <c r="M640" t="str">
        <f>IFERROR(VLOOKUP(C640, Customers!A:E, 5, FALSE), "Unknown")</f>
        <v>Retail</v>
      </c>
      <c r="N640" t="str">
        <f>VLOOKUP(E640, Sales_Reps!A:C, 3, FALSE)</f>
        <v>East</v>
      </c>
      <c r="O640">
        <f>VLOOKUP(D640, Products!A:D, 4, FALSE)</f>
        <v>1559</v>
      </c>
      <c r="P640">
        <f>IFERROR(VLOOKUP(C640, Customers!A:C, 3, FALSE), 0)</f>
        <v>35</v>
      </c>
      <c r="Q640">
        <f t="shared" si="9"/>
        <v>0.59715762273901807</v>
      </c>
    </row>
    <row r="641" spans="1:17" x14ac:dyDescent="0.3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  <c r="L641" t="str">
        <f>VLOOKUP(D641, Products!A:C, 3, FALSE)</f>
        <v>Home</v>
      </c>
      <c r="M641" t="str">
        <f>IFERROR(VLOOKUP(C641, Customers!A:E, 5, FALSE), "Unknown")</f>
        <v>Retail</v>
      </c>
      <c r="N641" t="str">
        <f>VLOOKUP(E641, Sales_Reps!A:C, 3, FALSE)</f>
        <v>South</v>
      </c>
      <c r="O641">
        <f>VLOOKUP(D641, Products!A:D, 4, FALSE)</f>
        <v>288</v>
      </c>
      <c r="P641">
        <f>IFERROR(VLOOKUP(C641, Customers!A:C, 3, FALSE), 0)</f>
        <v>24</v>
      </c>
      <c r="Q641">
        <f t="shared" si="9"/>
        <v>0.22162162162162163</v>
      </c>
    </row>
    <row r="642" spans="1:17" x14ac:dyDescent="0.3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  <c r="L642" t="str">
        <f>VLOOKUP(D642, Products!A:C, 3, FALSE)</f>
        <v>Apparel</v>
      </c>
      <c r="M642" t="str">
        <f>IFERROR(VLOOKUP(C642, Customers!A:E, 5, FALSE), "Unknown")</f>
        <v>SMB</v>
      </c>
      <c r="N642" t="str">
        <f>VLOOKUP(E642, Sales_Reps!A:C, 3, FALSE)</f>
        <v>East</v>
      </c>
      <c r="O642">
        <f>VLOOKUP(D642, Products!A:D, 4, FALSE)</f>
        <v>2509</v>
      </c>
      <c r="P642">
        <f>IFERROR(VLOOKUP(C642, Customers!A:C, 3, FALSE), 0)</f>
        <v>40</v>
      </c>
      <c r="Q642">
        <f t="shared" si="9"/>
        <v>0.3069060773480663</v>
      </c>
    </row>
    <row r="643" spans="1:17" x14ac:dyDescent="0.3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  <c r="L643" t="str">
        <f>VLOOKUP(D643, Products!A:C, 3, FALSE)</f>
        <v>Electronics</v>
      </c>
      <c r="M643" t="str">
        <f>IFERROR(VLOOKUP(C643, Customers!A:E, 5, FALSE), "Unknown")</f>
        <v>Retail</v>
      </c>
      <c r="N643" t="str">
        <f>VLOOKUP(E643, Sales_Reps!A:C, 3, FALSE)</f>
        <v>North</v>
      </c>
      <c r="O643">
        <f>VLOOKUP(D643, Products!A:D, 4, FALSE)</f>
        <v>1259</v>
      </c>
      <c r="P643">
        <f>IFERROR(VLOOKUP(C643, Customers!A:C, 3, FALSE), 0)</f>
        <v>55</v>
      </c>
      <c r="Q643">
        <f t="shared" ref="Q643:Q706" si="10">(G643 - O643) / G643</f>
        <v>0.52669172932330832</v>
      </c>
    </row>
    <row r="644" spans="1:17" x14ac:dyDescent="0.3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  <c r="L644" t="str">
        <f>VLOOKUP(D644, Products!A:C, 3, FALSE)</f>
        <v>Sports</v>
      </c>
      <c r="M644" t="str">
        <f>IFERROR(VLOOKUP(C644, Customers!A:E, 5, FALSE), "Unknown")</f>
        <v>Corporate</v>
      </c>
      <c r="N644" t="str">
        <f>VLOOKUP(E644, Sales_Reps!A:C, 3, FALSE)</f>
        <v>South</v>
      </c>
      <c r="O644">
        <f>VLOOKUP(D644, Products!A:D, 4, FALSE)</f>
        <v>2467</v>
      </c>
      <c r="P644">
        <f>IFERROR(VLOOKUP(C644, Customers!A:C, 3, FALSE), 0)</f>
        <v>55</v>
      </c>
      <c r="Q644">
        <f t="shared" si="10"/>
        <v>0.28492753623188405</v>
      </c>
    </row>
    <row r="645" spans="1:17" x14ac:dyDescent="0.3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  <c r="L645" t="str">
        <f>VLOOKUP(D645, Products!A:C, 3, FALSE)</f>
        <v>Grocery</v>
      </c>
      <c r="M645" t="str">
        <f>IFERROR(VLOOKUP(C645, Customers!A:E, 5, FALSE), "Unknown")</f>
        <v>Corporate</v>
      </c>
      <c r="N645" t="str">
        <f>VLOOKUP(E645, Sales_Reps!A:C, 3, FALSE)</f>
        <v>South</v>
      </c>
      <c r="O645">
        <f>VLOOKUP(D645, Products!A:D, 4, FALSE)</f>
        <v>2911</v>
      </c>
      <c r="P645">
        <f>IFERROR(VLOOKUP(C645, Customers!A:C, 3, FALSE), 0)</f>
        <v>31</v>
      </c>
      <c r="Q645">
        <f t="shared" si="10"/>
        <v>0.28300492610837441</v>
      </c>
    </row>
    <row r="646" spans="1:17" x14ac:dyDescent="0.3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  <c r="L646" t="str">
        <f>VLOOKUP(D646, Products!A:C, 3, FALSE)</f>
        <v>Sports</v>
      </c>
      <c r="M646" t="str">
        <f>IFERROR(VLOOKUP(C646, Customers!A:E, 5, FALSE), "Unknown")</f>
        <v>Corporate</v>
      </c>
      <c r="N646" t="str">
        <f>VLOOKUP(E646, Sales_Reps!A:C, 3, FALSE)</f>
        <v>East</v>
      </c>
      <c r="O646">
        <f>VLOOKUP(D646, Products!A:D, 4, FALSE)</f>
        <v>705</v>
      </c>
      <c r="P646">
        <f>IFERROR(VLOOKUP(C646, Customers!A:C, 3, FALSE), 0)</f>
        <v>55</v>
      </c>
      <c r="Q646">
        <f t="shared" si="10"/>
        <v>0.265625</v>
      </c>
    </row>
    <row r="647" spans="1:17" x14ac:dyDescent="0.3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  <c r="L647" t="str">
        <f>VLOOKUP(D647, Products!A:C, 3, FALSE)</f>
        <v>Electronics</v>
      </c>
      <c r="M647" t="str">
        <f>IFERROR(VLOOKUP(C647, Customers!A:E, 5, FALSE), "Unknown")</f>
        <v>SMB</v>
      </c>
      <c r="N647" t="str">
        <f>VLOOKUP(E647, Sales_Reps!A:C, 3, FALSE)</f>
        <v>North</v>
      </c>
      <c r="O647">
        <f>VLOOKUP(D647, Products!A:D, 4, FALSE)</f>
        <v>1259</v>
      </c>
      <c r="P647">
        <f>IFERROR(VLOOKUP(C647, Customers!A:C, 3, FALSE), 0)</f>
        <v>43</v>
      </c>
      <c r="Q647">
        <f t="shared" si="10"/>
        <v>0.52669172932330832</v>
      </c>
    </row>
    <row r="648" spans="1:17" x14ac:dyDescent="0.3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  <c r="L648" t="str">
        <f>VLOOKUP(D648, Products!A:C, 3, FALSE)</f>
        <v>Grocery</v>
      </c>
      <c r="M648" t="str">
        <f>IFERROR(VLOOKUP(C648, Customers!A:E, 5, FALSE), "Unknown")</f>
        <v>SMB</v>
      </c>
      <c r="N648" t="str">
        <f>VLOOKUP(E648, Sales_Reps!A:C, 3, FALSE)</f>
        <v>East</v>
      </c>
      <c r="O648">
        <f>VLOOKUP(D648, Products!A:D, 4, FALSE)</f>
        <v>1203</v>
      </c>
      <c r="P648">
        <f>IFERROR(VLOOKUP(C648, Customers!A:C, 3, FALSE), 0)</f>
        <v>65</v>
      </c>
      <c r="Q648">
        <f t="shared" si="10"/>
        <v>0.47004405286343615</v>
      </c>
    </row>
    <row r="649" spans="1:17" x14ac:dyDescent="0.3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  <c r="L649" t="str">
        <f>VLOOKUP(D649, Products!A:C, 3, FALSE)</f>
        <v>Grocery</v>
      </c>
      <c r="M649" t="str">
        <f>IFERROR(VLOOKUP(C649, Customers!A:E, 5, FALSE), "Unknown")</f>
        <v>SMB</v>
      </c>
      <c r="N649" t="str">
        <f>VLOOKUP(E649, Sales_Reps!A:C, 3, FALSE)</f>
        <v>West</v>
      </c>
      <c r="O649">
        <f>VLOOKUP(D649, Products!A:D, 4, FALSE)</f>
        <v>2436</v>
      </c>
      <c r="P649">
        <f>IFERROR(VLOOKUP(C649, Customers!A:C, 3, FALSE), 0)</f>
        <v>28</v>
      </c>
      <c r="Q649">
        <f t="shared" si="10"/>
        <v>0.35555555555555557</v>
      </c>
    </row>
    <row r="650" spans="1:17" x14ac:dyDescent="0.3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  <c r="L650" t="str">
        <f>VLOOKUP(D650, Products!A:C, 3, FALSE)</f>
        <v>Home</v>
      </c>
      <c r="M650" t="str">
        <f>IFERROR(VLOOKUP(C650, Customers!A:E, 5, FALSE), "Unknown")</f>
        <v>Retail</v>
      </c>
      <c r="N650" t="str">
        <f>VLOOKUP(E650, Sales_Reps!A:C, 3, FALSE)</f>
        <v>East</v>
      </c>
      <c r="O650">
        <f>VLOOKUP(D650, Products!A:D, 4, FALSE)</f>
        <v>329</v>
      </c>
      <c r="P650">
        <f>IFERROR(VLOOKUP(C650, Customers!A:C, 3, FALSE), 0)</f>
        <v>55</v>
      </c>
      <c r="Q650">
        <f t="shared" si="10"/>
        <v>0.50151515151515147</v>
      </c>
    </row>
    <row r="651" spans="1:17" x14ac:dyDescent="0.3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  <c r="L651" t="str">
        <f>VLOOKUP(D651, Products!A:C, 3, FALSE)</f>
        <v>Home</v>
      </c>
      <c r="M651" t="str">
        <f>IFERROR(VLOOKUP(C651, Customers!A:E, 5, FALSE), "Unknown")</f>
        <v>Corporate</v>
      </c>
      <c r="N651" t="str">
        <f>VLOOKUP(E651, Sales_Reps!A:C, 3, FALSE)</f>
        <v>West</v>
      </c>
      <c r="O651">
        <f>VLOOKUP(D651, Products!A:D, 4, FALSE)</f>
        <v>2135</v>
      </c>
      <c r="P651">
        <f>IFERROR(VLOOKUP(C651, Customers!A:C, 3, FALSE), 0)</f>
        <v>40</v>
      </c>
      <c r="Q651">
        <f t="shared" si="10"/>
        <v>0.42761394101876676</v>
      </c>
    </row>
    <row r="652" spans="1:17" x14ac:dyDescent="0.3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  <c r="L652" t="str">
        <f>VLOOKUP(D652, Products!A:C, 3, FALSE)</f>
        <v>Grocery</v>
      </c>
      <c r="M652" t="str">
        <f>IFERROR(VLOOKUP(C652, Customers!A:E, 5, FALSE), "Unknown")</f>
        <v>SMB</v>
      </c>
      <c r="N652" t="str">
        <f>VLOOKUP(E652, Sales_Reps!A:C, 3, FALSE)</f>
        <v>East</v>
      </c>
      <c r="O652">
        <f>VLOOKUP(D652, Products!A:D, 4, FALSE)</f>
        <v>2911</v>
      </c>
      <c r="P652">
        <f>IFERROR(VLOOKUP(C652, Customers!A:C, 3, FALSE), 0)</f>
        <v>27</v>
      </c>
      <c r="Q652">
        <f t="shared" si="10"/>
        <v>0.28300492610837441</v>
      </c>
    </row>
    <row r="653" spans="1:17" x14ac:dyDescent="0.3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  <c r="L653" t="str">
        <f>VLOOKUP(D653, Products!A:C, 3, FALSE)</f>
        <v>Grocery</v>
      </c>
      <c r="M653" t="str">
        <f>IFERROR(VLOOKUP(C653, Customers!A:E, 5, FALSE), "Unknown")</f>
        <v>SMB</v>
      </c>
      <c r="N653" t="str">
        <f>VLOOKUP(E653, Sales_Reps!A:C, 3, FALSE)</f>
        <v>North</v>
      </c>
      <c r="O653">
        <f>VLOOKUP(D653, Products!A:D, 4, FALSE)</f>
        <v>1203</v>
      </c>
      <c r="P653">
        <f>IFERROR(VLOOKUP(C653, Customers!A:C, 3, FALSE), 0)</f>
        <v>36</v>
      </c>
      <c r="Q653">
        <f t="shared" si="10"/>
        <v>0.47004405286343615</v>
      </c>
    </row>
    <row r="654" spans="1:17" x14ac:dyDescent="0.3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  <c r="L654" t="str">
        <f>VLOOKUP(D654, Products!A:C, 3, FALSE)</f>
        <v>Electronics</v>
      </c>
      <c r="M654" t="str">
        <f>IFERROR(VLOOKUP(C654, Customers!A:E, 5, FALSE), "Unknown")</f>
        <v>SMB</v>
      </c>
      <c r="N654" t="str">
        <f>VLOOKUP(E654, Sales_Reps!A:C, 3, FALSE)</f>
        <v>West</v>
      </c>
      <c r="O654">
        <f>VLOOKUP(D654, Products!A:D, 4, FALSE)</f>
        <v>1665</v>
      </c>
      <c r="P654">
        <f>IFERROR(VLOOKUP(C654, Customers!A:C, 3, FALSE), 0)</f>
        <v>48</v>
      </c>
      <c r="Q654">
        <f t="shared" si="10"/>
        <v>0.53361344537815125</v>
      </c>
    </row>
    <row r="655" spans="1:17" x14ac:dyDescent="0.3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  <c r="L655" t="str">
        <f>VLOOKUP(D655, Products!A:C, 3, FALSE)</f>
        <v>Grocery</v>
      </c>
      <c r="M655" t="str">
        <f>IFERROR(VLOOKUP(C655, Customers!A:E, 5, FALSE), "Unknown")</f>
        <v>Retail</v>
      </c>
      <c r="N655" t="str">
        <f>VLOOKUP(E655, Sales_Reps!A:C, 3, FALSE)</f>
        <v>North</v>
      </c>
      <c r="O655">
        <f>VLOOKUP(D655, Products!A:D, 4, FALSE)</f>
        <v>1010</v>
      </c>
      <c r="P655">
        <f>IFERROR(VLOOKUP(C655, Customers!A:C, 3, FALSE), 0)</f>
        <v>52</v>
      </c>
      <c r="Q655">
        <f t="shared" si="10"/>
        <v>0.54298642533936647</v>
      </c>
    </row>
    <row r="656" spans="1:17" x14ac:dyDescent="0.3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  <c r="L656" t="str">
        <f>VLOOKUP(D656, Products!A:C, 3, FALSE)</f>
        <v>Sports</v>
      </c>
      <c r="M656" t="str">
        <f>IFERROR(VLOOKUP(C656, Customers!A:E, 5, FALSE), "Unknown")</f>
        <v>SMB</v>
      </c>
      <c r="N656" t="str">
        <f>VLOOKUP(E656, Sales_Reps!A:C, 3, FALSE)</f>
        <v>West</v>
      </c>
      <c r="O656">
        <f>VLOOKUP(D656, Products!A:D, 4, FALSE)</f>
        <v>705</v>
      </c>
      <c r="P656">
        <f>IFERROR(VLOOKUP(C656, Customers!A:C, 3, FALSE), 0)</f>
        <v>43</v>
      </c>
      <c r="Q656">
        <f t="shared" si="10"/>
        <v>0.265625</v>
      </c>
    </row>
    <row r="657" spans="1:17" x14ac:dyDescent="0.3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  <c r="L657" t="str">
        <f>VLOOKUP(D657, Products!A:C, 3, FALSE)</f>
        <v>Sports</v>
      </c>
      <c r="M657" t="str">
        <f>IFERROR(VLOOKUP(C657, Customers!A:E, 5, FALSE), "Unknown")</f>
        <v>Corporate</v>
      </c>
      <c r="N657" t="str">
        <f>VLOOKUP(E657, Sales_Reps!A:C, 3, FALSE)</f>
        <v>West</v>
      </c>
      <c r="O657">
        <f>VLOOKUP(D657, Products!A:D, 4, FALSE)</f>
        <v>1860</v>
      </c>
      <c r="P657">
        <f>IFERROR(VLOOKUP(C657, Customers!A:C, 3, FALSE), 0)</f>
        <v>22</v>
      </c>
      <c r="Q657">
        <f t="shared" si="10"/>
        <v>0.50793650793650791</v>
      </c>
    </row>
    <row r="658" spans="1:17" x14ac:dyDescent="0.3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  <c r="L658" t="str">
        <f>VLOOKUP(D658, Products!A:C, 3, FALSE)</f>
        <v>Beauty</v>
      </c>
      <c r="M658" t="str">
        <f>IFERROR(VLOOKUP(C658, Customers!A:E, 5, FALSE), "Unknown")</f>
        <v>Corporate</v>
      </c>
      <c r="N658" t="str">
        <f>VLOOKUP(E658, Sales_Reps!A:C, 3, FALSE)</f>
        <v>South</v>
      </c>
      <c r="O658">
        <f>VLOOKUP(D658, Products!A:D, 4, FALSE)</f>
        <v>2237</v>
      </c>
      <c r="P658">
        <f>IFERROR(VLOOKUP(C658, Customers!A:C, 3, FALSE), 0)</f>
        <v>44</v>
      </c>
      <c r="Q658">
        <f t="shared" si="10"/>
        <v>0.56137254901960787</v>
      </c>
    </row>
    <row r="659" spans="1:17" x14ac:dyDescent="0.3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  <c r="L659" t="str">
        <f>VLOOKUP(D659, Products!A:C, 3, FALSE)</f>
        <v>Apparel</v>
      </c>
      <c r="M659" t="str">
        <f>IFERROR(VLOOKUP(C659, Customers!A:E, 5, FALSE), "Unknown")</f>
        <v>SMB</v>
      </c>
      <c r="N659" t="str">
        <f>VLOOKUP(E659, Sales_Reps!A:C, 3, FALSE)</f>
        <v>East</v>
      </c>
      <c r="O659">
        <f>VLOOKUP(D659, Products!A:D, 4, FALSE)</f>
        <v>1173</v>
      </c>
      <c r="P659">
        <f>IFERROR(VLOOKUP(C659, Customers!A:C, 3, FALSE), 0)</f>
        <v>26</v>
      </c>
      <c r="Q659">
        <f t="shared" si="10"/>
        <v>0.52701612903225803</v>
      </c>
    </row>
    <row r="660" spans="1:17" x14ac:dyDescent="0.3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  <c r="L660" t="str">
        <f>VLOOKUP(D660, Products!A:C, 3, FALSE)</f>
        <v>Home</v>
      </c>
      <c r="M660" t="str">
        <f>IFERROR(VLOOKUP(C660, Customers!A:E, 5, FALSE), "Unknown")</f>
        <v>Corporate</v>
      </c>
      <c r="N660" t="str">
        <f>VLOOKUP(E660, Sales_Reps!A:C, 3, FALSE)</f>
        <v>East</v>
      </c>
      <c r="O660">
        <f>VLOOKUP(D660, Products!A:D, 4, FALSE)</f>
        <v>519</v>
      </c>
      <c r="P660">
        <f>IFERROR(VLOOKUP(C660, Customers!A:C, 3, FALSE), 0)</f>
        <v>46</v>
      </c>
      <c r="Q660">
        <f t="shared" si="10"/>
        <v>0.51944444444444449</v>
      </c>
    </row>
    <row r="661" spans="1:17" x14ac:dyDescent="0.3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  <c r="L661" t="str">
        <f>VLOOKUP(D661, Products!A:C, 3, FALSE)</f>
        <v>Electronics</v>
      </c>
      <c r="M661" t="str">
        <f>IFERROR(VLOOKUP(C661, Customers!A:E, 5, FALSE), "Unknown")</f>
        <v>Retail</v>
      </c>
      <c r="N661" t="str">
        <f>VLOOKUP(E661, Sales_Reps!A:C, 3, FALSE)</f>
        <v>West</v>
      </c>
      <c r="O661">
        <f>VLOOKUP(D661, Products!A:D, 4, FALSE)</f>
        <v>1052</v>
      </c>
      <c r="P661">
        <f>IFERROR(VLOOKUP(C661, Customers!A:C, 3, FALSE), 0)</f>
        <v>40</v>
      </c>
      <c r="Q661">
        <f t="shared" si="10"/>
        <v>0.5953846153846154</v>
      </c>
    </row>
    <row r="662" spans="1:17" x14ac:dyDescent="0.3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  <c r="L662" t="str">
        <f>VLOOKUP(D662, Products!A:C, 3, FALSE)</f>
        <v>Electronics</v>
      </c>
      <c r="M662" t="str">
        <f>IFERROR(VLOOKUP(C662, Customers!A:E, 5, FALSE), "Unknown")</f>
        <v>Retail</v>
      </c>
      <c r="N662" t="str">
        <f>VLOOKUP(E662, Sales_Reps!A:C, 3, FALSE)</f>
        <v>South</v>
      </c>
      <c r="O662">
        <f>VLOOKUP(D662, Products!A:D, 4, FALSE)</f>
        <v>1052</v>
      </c>
      <c r="P662">
        <f>IFERROR(VLOOKUP(C662, Customers!A:C, 3, FALSE), 0)</f>
        <v>36</v>
      </c>
      <c r="Q662">
        <f t="shared" si="10"/>
        <v>0.5953846153846154</v>
      </c>
    </row>
    <row r="663" spans="1:17" x14ac:dyDescent="0.3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  <c r="L663" t="str">
        <f>VLOOKUP(D663, Products!A:C, 3, FALSE)</f>
        <v>Apparel</v>
      </c>
      <c r="M663" t="str">
        <f>IFERROR(VLOOKUP(C663, Customers!A:E, 5, FALSE), "Unknown")</f>
        <v>SMB</v>
      </c>
      <c r="N663" t="str">
        <f>VLOOKUP(E663, Sales_Reps!A:C, 3, FALSE)</f>
        <v>East</v>
      </c>
      <c r="O663">
        <f>VLOOKUP(D663, Products!A:D, 4, FALSE)</f>
        <v>391</v>
      </c>
      <c r="P663">
        <f>IFERROR(VLOOKUP(C663, Customers!A:C, 3, FALSE), 0)</f>
        <v>50</v>
      </c>
      <c r="Q663">
        <f t="shared" si="10"/>
        <v>0.52317073170731709</v>
      </c>
    </row>
    <row r="664" spans="1:17" x14ac:dyDescent="0.3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  <c r="L664" t="str">
        <f>VLOOKUP(D664, Products!A:C, 3, FALSE)</f>
        <v>Sports</v>
      </c>
      <c r="M664" t="str">
        <f>IFERROR(VLOOKUP(C664, Customers!A:E, 5, FALSE), "Unknown")</f>
        <v>Retail</v>
      </c>
      <c r="N664" t="str">
        <f>VLOOKUP(E664, Sales_Reps!A:C, 3, FALSE)</f>
        <v>South</v>
      </c>
      <c r="O664">
        <f>VLOOKUP(D664, Products!A:D, 4, FALSE)</f>
        <v>705</v>
      </c>
      <c r="P664">
        <f>IFERROR(VLOOKUP(C664, Customers!A:C, 3, FALSE), 0)</f>
        <v>49</v>
      </c>
      <c r="Q664">
        <f t="shared" si="10"/>
        <v>0.265625</v>
      </c>
    </row>
    <row r="665" spans="1:17" x14ac:dyDescent="0.3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  <c r="L665" t="str">
        <f>VLOOKUP(D665, Products!A:C, 3, FALSE)</f>
        <v>Beauty</v>
      </c>
      <c r="M665" t="str">
        <f>IFERROR(VLOOKUP(C665, Customers!A:E, 5, FALSE), "Unknown")</f>
        <v>Corporate</v>
      </c>
      <c r="N665" t="str">
        <f>VLOOKUP(E665, Sales_Reps!A:C, 3, FALSE)</f>
        <v>East</v>
      </c>
      <c r="O665">
        <f>VLOOKUP(D665, Products!A:D, 4, FALSE)</f>
        <v>647</v>
      </c>
      <c r="P665">
        <f>IFERROR(VLOOKUP(C665, Customers!A:C, 3, FALSE), 0)</f>
        <v>55</v>
      </c>
      <c r="Q665">
        <f t="shared" si="10"/>
        <v>0.57987012987012987</v>
      </c>
    </row>
    <row r="666" spans="1:17" x14ac:dyDescent="0.3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  <c r="L666" t="str">
        <f>VLOOKUP(D666, Products!A:C, 3, FALSE)</f>
        <v>Sports</v>
      </c>
      <c r="M666" t="str">
        <f>IFERROR(VLOOKUP(C666, Customers!A:E, 5, FALSE), "Unknown")</f>
        <v>SMB</v>
      </c>
      <c r="N666" t="str">
        <f>VLOOKUP(E666, Sales_Reps!A:C, 3, FALSE)</f>
        <v>West</v>
      </c>
      <c r="O666">
        <f>VLOOKUP(D666, Products!A:D, 4, FALSE)</f>
        <v>2827</v>
      </c>
      <c r="P666">
        <f>IFERROR(VLOOKUP(C666, Customers!A:C, 3, FALSE), 0)</f>
        <v>44</v>
      </c>
      <c r="Q666">
        <f t="shared" si="10"/>
        <v>0.5926512968299712</v>
      </c>
    </row>
    <row r="667" spans="1:17" x14ac:dyDescent="0.3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  <c r="L667" t="str">
        <f>VLOOKUP(D667, Products!A:C, 3, FALSE)</f>
        <v>Beauty</v>
      </c>
      <c r="M667" t="str">
        <f>IFERROR(VLOOKUP(C667, Customers!A:E, 5, FALSE), "Unknown")</f>
        <v>SMB</v>
      </c>
      <c r="N667" t="str">
        <f>VLOOKUP(E667, Sales_Reps!A:C, 3, FALSE)</f>
        <v>South</v>
      </c>
      <c r="O667">
        <f>VLOOKUP(D667, Products!A:D, 4, FALSE)</f>
        <v>647</v>
      </c>
      <c r="P667">
        <f>IFERROR(VLOOKUP(C667, Customers!A:C, 3, FALSE), 0)</f>
        <v>53</v>
      </c>
      <c r="Q667">
        <f t="shared" si="10"/>
        <v>0.57987012987012987</v>
      </c>
    </row>
    <row r="668" spans="1:17" x14ac:dyDescent="0.3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  <c r="L668" t="str">
        <f>VLOOKUP(D668, Products!A:C, 3, FALSE)</f>
        <v>Home</v>
      </c>
      <c r="M668" t="str">
        <f>IFERROR(VLOOKUP(C668, Customers!A:E, 5, FALSE), "Unknown")</f>
        <v>Retail</v>
      </c>
      <c r="N668" t="str">
        <f>VLOOKUP(E668, Sales_Reps!A:C, 3, FALSE)</f>
        <v>South</v>
      </c>
      <c r="O668">
        <f>VLOOKUP(D668, Products!A:D, 4, FALSE)</f>
        <v>2135</v>
      </c>
      <c r="P668">
        <f>IFERROR(VLOOKUP(C668, Customers!A:C, 3, FALSE), 0)</f>
        <v>53</v>
      </c>
      <c r="Q668">
        <f t="shared" si="10"/>
        <v>0.42761394101876676</v>
      </c>
    </row>
    <row r="669" spans="1:17" x14ac:dyDescent="0.3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  <c r="L669" t="str">
        <f>VLOOKUP(D669, Products!A:C, 3, FALSE)</f>
        <v>Grocery</v>
      </c>
      <c r="M669" t="str">
        <f>IFERROR(VLOOKUP(C669, Customers!A:E, 5, FALSE), "Unknown")</f>
        <v>Retail</v>
      </c>
      <c r="N669" t="str">
        <f>VLOOKUP(E669, Sales_Reps!A:C, 3, FALSE)</f>
        <v>East</v>
      </c>
      <c r="O669">
        <f>VLOOKUP(D669, Products!A:D, 4, FALSE)</f>
        <v>1435</v>
      </c>
      <c r="P669">
        <f>IFERROR(VLOOKUP(C669, Customers!A:C, 3, FALSE), 0)</f>
        <v>34</v>
      </c>
      <c r="Q669">
        <f t="shared" si="10"/>
        <v>0.48007246376811596</v>
      </c>
    </row>
    <row r="670" spans="1:17" x14ac:dyDescent="0.3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  <c r="L670" t="str">
        <f>VLOOKUP(D670, Products!A:C, 3, FALSE)</f>
        <v>Electronics</v>
      </c>
      <c r="M670" t="str">
        <f>IFERROR(VLOOKUP(C670, Customers!A:E, 5, FALSE), "Unknown")</f>
        <v>Corporate</v>
      </c>
      <c r="N670" t="str">
        <f>VLOOKUP(E670, Sales_Reps!A:C, 3, FALSE)</f>
        <v>East</v>
      </c>
      <c r="O670">
        <f>VLOOKUP(D670, Products!A:D, 4, FALSE)</f>
        <v>2865</v>
      </c>
      <c r="P670">
        <f>IFERROR(VLOOKUP(C670, Customers!A:C, 3, FALSE), 0)</f>
        <v>51</v>
      </c>
      <c r="Q670">
        <f t="shared" si="10"/>
        <v>0.27833753148614609</v>
      </c>
    </row>
    <row r="671" spans="1:17" x14ac:dyDescent="0.3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  <c r="L671" t="str">
        <f>VLOOKUP(D671, Products!A:C, 3, FALSE)</f>
        <v>Grocery</v>
      </c>
      <c r="M671" t="str">
        <f>IFERROR(VLOOKUP(C671, Customers!A:E, 5, FALSE), "Unknown")</f>
        <v>SMB</v>
      </c>
      <c r="N671" t="str">
        <f>VLOOKUP(E671, Sales_Reps!A:C, 3, FALSE)</f>
        <v>East</v>
      </c>
      <c r="O671">
        <f>VLOOKUP(D671, Products!A:D, 4, FALSE)</f>
        <v>2436</v>
      </c>
      <c r="P671">
        <f>IFERROR(VLOOKUP(C671, Customers!A:C, 3, FALSE), 0)</f>
        <v>28</v>
      </c>
      <c r="Q671">
        <f t="shared" si="10"/>
        <v>0.35555555555555557</v>
      </c>
    </row>
    <row r="672" spans="1:17" x14ac:dyDescent="0.3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  <c r="L672" t="str">
        <f>VLOOKUP(D672, Products!A:C, 3, FALSE)</f>
        <v>Apparel</v>
      </c>
      <c r="M672" t="str">
        <f>IFERROR(VLOOKUP(C672, Customers!A:E, 5, FALSE), "Unknown")</f>
        <v>Retail</v>
      </c>
      <c r="N672" t="str">
        <f>VLOOKUP(E672, Sales_Reps!A:C, 3, FALSE)</f>
        <v>North</v>
      </c>
      <c r="O672">
        <f>VLOOKUP(D672, Products!A:D, 4, FALSE)</f>
        <v>1962</v>
      </c>
      <c r="P672">
        <f>IFERROR(VLOOKUP(C672, Customers!A:C, 3, FALSE), 0)</f>
        <v>52</v>
      </c>
      <c r="Q672">
        <f t="shared" si="10"/>
        <v>0.2786764705882353</v>
      </c>
    </row>
    <row r="673" spans="1:17" x14ac:dyDescent="0.3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  <c r="L673" t="str">
        <f>VLOOKUP(D673, Products!A:C, 3, FALSE)</f>
        <v>Electronics</v>
      </c>
      <c r="M673" t="str">
        <f>IFERROR(VLOOKUP(C673, Customers!A:E, 5, FALSE), "Unknown")</f>
        <v>Retail</v>
      </c>
      <c r="N673" t="str">
        <f>VLOOKUP(E673, Sales_Reps!A:C, 3, FALSE)</f>
        <v>East</v>
      </c>
      <c r="O673">
        <f>VLOOKUP(D673, Products!A:D, 4, FALSE)</f>
        <v>2865</v>
      </c>
      <c r="P673">
        <f>IFERROR(VLOOKUP(C673, Customers!A:C, 3, FALSE), 0)</f>
        <v>49</v>
      </c>
      <c r="Q673">
        <f t="shared" si="10"/>
        <v>0.27833753148614609</v>
      </c>
    </row>
    <row r="674" spans="1:17" x14ac:dyDescent="0.3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  <c r="L674" t="str">
        <f>VLOOKUP(D674, Products!A:C, 3, FALSE)</f>
        <v>Apparel</v>
      </c>
      <c r="M674" t="str">
        <f>IFERROR(VLOOKUP(C674, Customers!A:E, 5, FALSE), "Unknown")</f>
        <v>SMB</v>
      </c>
      <c r="N674" t="str">
        <f>VLOOKUP(E674, Sales_Reps!A:C, 3, FALSE)</f>
        <v>South</v>
      </c>
      <c r="O674">
        <f>VLOOKUP(D674, Products!A:D, 4, FALSE)</f>
        <v>391</v>
      </c>
      <c r="P674">
        <f>IFERROR(VLOOKUP(C674, Customers!A:C, 3, FALSE), 0)</f>
        <v>39</v>
      </c>
      <c r="Q674">
        <f t="shared" si="10"/>
        <v>0.52317073170731709</v>
      </c>
    </row>
    <row r="675" spans="1:17" x14ac:dyDescent="0.3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  <c r="L675" t="str">
        <f>VLOOKUP(D675, Products!A:C, 3, FALSE)</f>
        <v>Apparel</v>
      </c>
      <c r="M675" t="str">
        <f>IFERROR(VLOOKUP(C675, Customers!A:E, 5, FALSE), "Unknown")</f>
        <v>Retail</v>
      </c>
      <c r="N675" t="str">
        <f>VLOOKUP(E675, Sales_Reps!A:C, 3, FALSE)</f>
        <v>South</v>
      </c>
      <c r="O675">
        <f>VLOOKUP(D675, Products!A:D, 4, FALSE)</f>
        <v>396</v>
      </c>
      <c r="P675">
        <f>IFERROR(VLOOKUP(C675, Customers!A:C, 3, FALSE), 0)</f>
        <v>37</v>
      </c>
      <c r="Q675">
        <f t="shared" si="10"/>
        <v>0.36129032258064514</v>
      </c>
    </row>
    <row r="676" spans="1:17" x14ac:dyDescent="0.3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  <c r="L676" t="str">
        <f>VLOOKUP(D676, Products!A:C, 3, FALSE)</f>
        <v>Beauty</v>
      </c>
      <c r="M676" t="str">
        <f>IFERROR(VLOOKUP(C676, Customers!A:E, 5, FALSE), "Unknown")</f>
        <v>Retail</v>
      </c>
      <c r="N676" t="str">
        <f>VLOOKUP(E676, Sales_Reps!A:C, 3, FALSE)</f>
        <v>West</v>
      </c>
      <c r="O676">
        <f>VLOOKUP(D676, Products!A:D, 4, FALSE)</f>
        <v>1219</v>
      </c>
      <c r="P676">
        <f>IFERROR(VLOOKUP(C676, Customers!A:C, 3, FALSE), 0)</f>
        <v>31</v>
      </c>
      <c r="Q676">
        <f t="shared" si="10"/>
        <v>0.46768558951965067</v>
      </c>
    </row>
    <row r="677" spans="1:17" x14ac:dyDescent="0.3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  <c r="L677" t="str">
        <f>VLOOKUP(D677, Products!A:C, 3, FALSE)</f>
        <v>Grocery</v>
      </c>
      <c r="M677" t="str">
        <f>IFERROR(VLOOKUP(C677, Customers!A:E, 5, FALSE), "Unknown")</f>
        <v>Corporate</v>
      </c>
      <c r="N677" t="str">
        <f>VLOOKUP(E677, Sales_Reps!A:C, 3, FALSE)</f>
        <v>West</v>
      </c>
      <c r="O677">
        <f>VLOOKUP(D677, Products!A:D, 4, FALSE)</f>
        <v>434</v>
      </c>
      <c r="P677">
        <f>IFERROR(VLOOKUP(C677, Customers!A:C, 3, FALSE), 0)</f>
        <v>41</v>
      </c>
      <c r="Q677">
        <f t="shared" si="10"/>
        <v>0.5525773195876289</v>
      </c>
    </row>
    <row r="678" spans="1:17" x14ac:dyDescent="0.3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  <c r="L678" t="str">
        <f>VLOOKUP(D678, Products!A:C, 3, FALSE)</f>
        <v>Home</v>
      </c>
      <c r="M678" t="str">
        <f>IFERROR(VLOOKUP(C678, Customers!A:E, 5, FALSE), "Unknown")</f>
        <v>Retail</v>
      </c>
      <c r="N678" t="str">
        <f>VLOOKUP(E678, Sales_Reps!A:C, 3, FALSE)</f>
        <v>South</v>
      </c>
      <c r="O678">
        <f>VLOOKUP(D678, Products!A:D, 4, FALSE)</f>
        <v>288</v>
      </c>
      <c r="P678">
        <f>IFERROR(VLOOKUP(C678, Customers!A:C, 3, FALSE), 0)</f>
        <v>47</v>
      </c>
      <c r="Q678">
        <f t="shared" si="10"/>
        <v>0.22162162162162163</v>
      </c>
    </row>
    <row r="679" spans="1:17" x14ac:dyDescent="0.3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  <c r="L679" t="str">
        <f>VLOOKUP(D679, Products!A:C, 3, FALSE)</f>
        <v>Electronics</v>
      </c>
      <c r="M679" t="str">
        <f>IFERROR(VLOOKUP(C679, Customers!A:E, 5, FALSE), "Unknown")</f>
        <v>SMB</v>
      </c>
      <c r="N679" t="str">
        <f>VLOOKUP(E679, Sales_Reps!A:C, 3, FALSE)</f>
        <v>North</v>
      </c>
      <c r="O679">
        <f>VLOOKUP(D679, Products!A:D, 4, FALSE)</f>
        <v>861</v>
      </c>
      <c r="P679">
        <f>IFERROR(VLOOKUP(C679, Customers!A:C, 3, FALSE), 0)</f>
        <v>26</v>
      </c>
      <c r="Q679">
        <f t="shared" si="10"/>
        <v>0.39790209790209791</v>
      </c>
    </row>
    <row r="680" spans="1:17" x14ac:dyDescent="0.3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  <c r="L680" t="str">
        <f>VLOOKUP(D680, Products!A:C, 3, FALSE)</f>
        <v>Sports</v>
      </c>
      <c r="M680" t="str">
        <f>IFERROR(VLOOKUP(C680, Customers!A:E, 5, FALSE), "Unknown")</f>
        <v>Retail</v>
      </c>
      <c r="N680" t="str">
        <f>VLOOKUP(E680, Sales_Reps!A:C, 3, FALSE)</f>
        <v>West</v>
      </c>
      <c r="O680">
        <f>VLOOKUP(D680, Products!A:D, 4, FALSE)</f>
        <v>974</v>
      </c>
      <c r="P680">
        <f>IFERROR(VLOOKUP(C680, Customers!A:C, 3, FALSE), 0)</f>
        <v>37</v>
      </c>
      <c r="Q680">
        <f t="shared" si="10"/>
        <v>0.59416666666666662</v>
      </c>
    </row>
    <row r="681" spans="1:17" x14ac:dyDescent="0.3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  <c r="L681" t="str">
        <f>VLOOKUP(D681, Products!A:C, 3, FALSE)</f>
        <v>Electronics</v>
      </c>
      <c r="M681" t="str">
        <f>IFERROR(VLOOKUP(C681, Customers!A:E, 5, FALSE), "Unknown")</f>
        <v>SMB</v>
      </c>
      <c r="N681" t="str">
        <f>VLOOKUP(E681, Sales_Reps!A:C, 3, FALSE)</f>
        <v>South</v>
      </c>
      <c r="O681">
        <f>VLOOKUP(D681, Products!A:D, 4, FALSE)</f>
        <v>861</v>
      </c>
      <c r="P681">
        <f>IFERROR(VLOOKUP(C681, Customers!A:C, 3, FALSE), 0)</f>
        <v>53</v>
      </c>
      <c r="Q681">
        <f t="shared" si="10"/>
        <v>0.39790209790209791</v>
      </c>
    </row>
    <row r="682" spans="1:17" x14ac:dyDescent="0.3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  <c r="L682" t="str">
        <f>VLOOKUP(D682, Products!A:C, 3, FALSE)</f>
        <v>Apparel</v>
      </c>
      <c r="M682" t="str">
        <f>IFERROR(VLOOKUP(C682, Customers!A:E, 5, FALSE), "Unknown")</f>
        <v>SMB</v>
      </c>
      <c r="N682" t="str">
        <f>VLOOKUP(E682, Sales_Reps!A:C, 3, FALSE)</f>
        <v>North</v>
      </c>
      <c r="O682">
        <f>VLOOKUP(D682, Products!A:D, 4, FALSE)</f>
        <v>1962</v>
      </c>
      <c r="P682">
        <f>IFERROR(VLOOKUP(C682, Customers!A:C, 3, FALSE), 0)</f>
        <v>48</v>
      </c>
      <c r="Q682">
        <f t="shared" si="10"/>
        <v>0.2786764705882353</v>
      </c>
    </row>
    <row r="683" spans="1:17" x14ac:dyDescent="0.3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  <c r="L683" t="str">
        <f>VLOOKUP(D683, Products!A:C, 3, FALSE)</f>
        <v>Sports</v>
      </c>
      <c r="M683" t="str">
        <f>IFERROR(VLOOKUP(C683, Customers!A:E, 5, FALSE), "Unknown")</f>
        <v>Retail</v>
      </c>
      <c r="N683" t="str">
        <f>VLOOKUP(E683, Sales_Reps!A:C, 3, FALSE)</f>
        <v>West</v>
      </c>
      <c r="O683">
        <f>VLOOKUP(D683, Products!A:D, 4, FALSE)</f>
        <v>2827</v>
      </c>
      <c r="P683">
        <f>IFERROR(VLOOKUP(C683, Customers!A:C, 3, FALSE), 0)</f>
        <v>24</v>
      </c>
      <c r="Q683">
        <f t="shared" si="10"/>
        <v>0.5926512968299712</v>
      </c>
    </row>
    <row r="684" spans="1:17" x14ac:dyDescent="0.3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  <c r="L684" t="str">
        <f>VLOOKUP(D684, Products!A:C, 3, FALSE)</f>
        <v>Apparel</v>
      </c>
      <c r="M684" t="str">
        <f>IFERROR(VLOOKUP(C684, Customers!A:E, 5, FALSE), "Unknown")</f>
        <v>Corporate</v>
      </c>
      <c r="N684" t="str">
        <f>VLOOKUP(E684, Sales_Reps!A:C, 3, FALSE)</f>
        <v>North</v>
      </c>
      <c r="O684">
        <f>VLOOKUP(D684, Products!A:D, 4, FALSE)</f>
        <v>2509</v>
      </c>
      <c r="P684">
        <f>IFERROR(VLOOKUP(C684, Customers!A:C, 3, FALSE), 0)</f>
        <v>42</v>
      </c>
      <c r="Q684">
        <f t="shared" si="10"/>
        <v>0.3069060773480663</v>
      </c>
    </row>
    <row r="685" spans="1:17" x14ac:dyDescent="0.3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  <c r="L685" t="str">
        <f>VLOOKUP(D685, Products!A:C, 3, FALSE)</f>
        <v>Electronics</v>
      </c>
      <c r="M685" t="str">
        <f>IFERROR(VLOOKUP(C685, Customers!A:E, 5, FALSE), "Unknown")</f>
        <v>SMB</v>
      </c>
      <c r="N685" t="str">
        <f>VLOOKUP(E685, Sales_Reps!A:C, 3, FALSE)</f>
        <v>West</v>
      </c>
      <c r="O685">
        <f>VLOOKUP(D685, Products!A:D, 4, FALSE)</f>
        <v>1149</v>
      </c>
      <c r="P685">
        <f>IFERROR(VLOOKUP(C685, Customers!A:C, 3, FALSE), 0)</f>
        <v>53</v>
      </c>
      <c r="Q685">
        <f t="shared" si="10"/>
        <v>0.56477272727272732</v>
      </c>
    </row>
    <row r="686" spans="1:17" x14ac:dyDescent="0.3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  <c r="L686" t="str">
        <f>VLOOKUP(D686, Products!A:C, 3, FALSE)</f>
        <v>Home</v>
      </c>
      <c r="M686" t="str">
        <f>IFERROR(VLOOKUP(C686, Customers!A:E, 5, FALSE), "Unknown")</f>
        <v>Retail</v>
      </c>
      <c r="N686" t="str">
        <f>VLOOKUP(E686, Sales_Reps!A:C, 3, FALSE)</f>
        <v>North</v>
      </c>
      <c r="O686">
        <f>VLOOKUP(D686, Products!A:D, 4, FALSE)</f>
        <v>2549</v>
      </c>
      <c r="P686">
        <f>IFERROR(VLOOKUP(C686, Customers!A:C, 3, FALSE), 0)</f>
        <v>56</v>
      </c>
      <c r="Q686">
        <f t="shared" si="10"/>
        <v>0.53570127504553733</v>
      </c>
    </row>
    <row r="687" spans="1:17" x14ac:dyDescent="0.3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  <c r="L687" t="str">
        <f>VLOOKUP(D687, Products!A:C, 3, FALSE)</f>
        <v>Home</v>
      </c>
      <c r="M687" t="str">
        <f>IFERROR(VLOOKUP(C687, Customers!A:E, 5, FALSE), "Unknown")</f>
        <v>SMB</v>
      </c>
      <c r="N687" t="str">
        <f>VLOOKUP(E687, Sales_Reps!A:C, 3, FALSE)</f>
        <v>East</v>
      </c>
      <c r="O687">
        <f>VLOOKUP(D687, Products!A:D, 4, FALSE)</f>
        <v>2459</v>
      </c>
      <c r="P687">
        <f>IFERROR(VLOOKUP(C687, Customers!A:C, 3, FALSE), 0)</f>
        <v>39</v>
      </c>
      <c r="Q687">
        <f t="shared" si="10"/>
        <v>0.51594488188976373</v>
      </c>
    </row>
    <row r="688" spans="1:17" x14ac:dyDescent="0.3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  <c r="L688" t="str">
        <f>VLOOKUP(D688, Products!A:C, 3, FALSE)</f>
        <v>Beauty</v>
      </c>
      <c r="M688" t="str">
        <f>IFERROR(VLOOKUP(C688, Customers!A:E, 5, FALSE), "Unknown")</f>
        <v>SMB</v>
      </c>
      <c r="N688" t="str">
        <f>VLOOKUP(E688, Sales_Reps!A:C, 3, FALSE)</f>
        <v>West</v>
      </c>
      <c r="O688">
        <f>VLOOKUP(D688, Products!A:D, 4, FALSE)</f>
        <v>1219</v>
      </c>
      <c r="P688">
        <f>IFERROR(VLOOKUP(C688, Customers!A:C, 3, FALSE), 0)</f>
        <v>28</v>
      </c>
      <c r="Q688">
        <f t="shared" si="10"/>
        <v>0.46768558951965067</v>
      </c>
    </row>
    <row r="689" spans="1:17" x14ac:dyDescent="0.3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  <c r="L689" t="str">
        <f>VLOOKUP(D689, Products!A:C, 3, FALSE)</f>
        <v>Home</v>
      </c>
      <c r="M689" t="str">
        <f>IFERROR(VLOOKUP(C689, Customers!A:E, 5, FALSE), "Unknown")</f>
        <v>Retail</v>
      </c>
      <c r="N689" t="str">
        <f>VLOOKUP(E689, Sales_Reps!A:C, 3, FALSE)</f>
        <v>South</v>
      </c>
      <c r="O689">
        <f>VLOOKUP(D689, Products!A:D, 4, FALSE)</f>
        <v>1143</v>
      </c>
      <c r="P689">
        <f>IFERROR(VLOOKUP(C689, Customers!A:C, 3, FALSE), 0)</f>
        <v>22</v>
      </c>
      <c r="Q689">
        <f t="shared" si="10"/>
        <v>0.43694581280788175</v>
      </c>
    </row>
    <row r="690" spans="1:17" x14ac:dyDescent="0.3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  <c r="L690" t="str">
        <f>VLOOKUP(D690, Products!A:C, 3, FALSE)</f>
        <v>Electronics</v>
      </c>
      <c r="M690" t="str">
        <f>IFERROR(VLOOKUP(C690, Customers!A:E, 5, FALSE), "Unknown")</f>
        <v>SMB</v>
      </c>
      <c r="N690" t="str">
        <f>VLOOKUP(E690, Sales_Reps!A:C, 3, FALSE)</f>
        <v>South</v>
      </c>
      <c r="O690">
        <f>VLOOKUP(D690, Products!A:D, 4, FALSE)</f>
        <v>861</v>
      </c>
      <c r="P690">
        <f>IFERROR(VLOOKUP(C690, Customers!A:C, 3, FALSE), 0)</f>
        <v>61</v>
      </c>
      <c r="Q690">
        <f t="shared" si="10"/>
        <v>0.39790209790209791</v>
      </c>
    </row>
    <row r="691" spans="1:17" x14ac:dyDescent="0.3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  <c r="L691" t="str">
        <f>VLOOKUP(D691, Products!A:C, 3, FALSE)</f>
        <v>Grocery</v>
      </c>
      <c r="M691" t="str">
        <f>IFERROR(VLOOKUP(C691, Customers!A:E, 5, FALSE), "Unknown")</f>
        <v>SMB</v>
      </c>
      <c r="N691" t="str">
        <f>VLOOKUP(E691, Sales_Reps!A:C, 3, FALSE)</f>
        <v>South</v>
      </c>
      <c r="O691">
        <f>VLOOKUP(D691, Products!A:D, 4, FALSE)</f>
        <v>2436</v>
      </c>
      <c r="P691">
        <f>IFERROR(VLOOKUP(C691, Customers!A:C, 3, FALSE), 0)</f>
        <v>54</v>
      </c>
      <c r="Q691">
        <f t="shared" si="10"/>
        <v>0.35555555555555557</v>
      </c>
    </row>
    <row r="692" spans="1:17" x14ac:dyDescent="0.3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  <c r="L692" t="str">
        <f>VLOOKUP(D692, Products!A:C, 3, FALSE)</f>
        <v>Apparel</v>
      </c>
      <c r="M692" t="str">
        <f>IFERROR(VLOOKUP(C692, Customers!A:E, 5, FALSE), "Unknown")</f>
        <v>Retail</v>
      </c>
      <c r="N692" t="str">
        <f>VLOOKUP(E692, Sales_Reps!A:C, 3, FALSE)</f>
        <v>East</v>
      </c>
      <c r="O692">
        <f>VLOOKUP(D692, Products!A:D, 4, FALSE)</f>
        <v>1886</v>
      </c>
      <c r="P692">
        <f>IFERROR(VLOOKUP(C692, Customers!A:C, 3, FALSE), 0)</f>
        <v>50</v>
      </c>
      <c r="Q692">
        <f t="shared" si="10"/>
        <v>0.4031645569620253</v>
      </c>
    </row>
    <row r="693" spans="1:17" x14ac:dyDescent="0.3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  <c r="L693" t="str">
        <f>VLOOKUP(D693, Products!A:C, 3, FALSE)</f>
        <v>Electronics</v>
      </c>
      <c r="M693" t="str">
        <f>IFERROR(VLOOKUP(C693, Customers!A:E, 5, FALSE), "Unknown")</f>
        <v>Retail</v>
      </c>
      <c r="N693" t="str">
        <f>VLOOKUP(E693, Sales_Reps!A:C, 3, FALSE)</f>
        <v>North</v>
      </c>
      <c r="O693">
        <f>VLOOKUP(D693, Products!A:D, 4, FALSE)</f>
        <v>861</v>
      </c>
      <c r="P693">
        <f>IFERROR(VLOOKUP(C693, Customers!A:C, 3, FALSE), 0)</f>
        <v>65</v>
      </c>
      <c r="Q693">
        <f t="shared" si="10"/>
        <v>0.39790209790209791</v>
      </c>
    </row>
    <row r="694" spans="1:17" x14ac:dyDescent="0.3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  <c r="L694" t="str">
        <f>VLOOKUP(D694, Products!A:C, 3, FALSE)</f>
        <v>Apparel</v>
      </c>
      <c r="M694" t="str">
        <f>IFERROR(VLOOKUP(C694, Customers!A:E, 5, FALSE), "Unknown")</f>
        <v>SMB</v>
      </c>
      <c r="N694" t="str">
        <f>VLOOKUP(E694, Sales_Reps!A:C, 3, FALSE)</f>
        <v>North</v>
      </c>
      <c r="O694">
        <f>VLOOKUP(D694, Products!A:D, 4, FALSE)</f>
        <v>1886</v>
      </c>
      <c r="P694">
        <f>IFERROR(VLOOKUP(C694, Customers!A:C, 3, FALSE), 0)</f>
        <v>64</v>
      </c>
      <c r="Q694">
        <f t="shared" si="10"/>
        <v>0.4031645569620253</v>
      </c>
    </row>
    <row r="695" spans="1:17" x14ac:dyDescent="0.3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  <c r="L695" t="str">
        <f>VLOOKUP(D695, Products!A:C, 3, FALSE)</f>
        <v>Beauty</v>
      </c>
      <c r="M695" t="str">
        <f>IFERROR(VLOOKUP(C695, Customers!A:E, 5, FALSE), "Unknown")</f>
        <v>Retail</v>
      </c>
      <c r="N695" t="str">
        <f>VLOOKUP(E695, Sales_Reps!A:C, 3, FALSE)</f>
        <v>North</v>
      </c>
      <c r="O695">
        <f>VLOOKUP(D695, Products!A:D, 4, FALSE)</f>
        <v>1219</v>
      </c>
      <c r="P695">
        <f>IFERROR(VLOOKUP(C695, Customers!A:C, 3, FALSE), 0)</f>
        <v>36</v>
      </c>
      <c r="Q695">
        <f t="shared" si="10"/>
        <v>0.46768558951965067</v>
      </c>
    </row>
    <row r="696" spans="1:17" x14ac:dyDescent="0.3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  <c r="L696" t="str">
        <f>VLOOKUP(D696, Products!A:C, 3, FALSE)</f>
        <v>Apparel</v>
      </c>
      <c r="M696" t="str">
        <f>IFERROR(VLOOKUP(C696, Customers!A:E, 5, FALSE), "Unknown")</f>
        <v>Retail</v>
      </c>
      <c r="N696" t="str">
        <f>VLOOKUP(E696, Sales_Reps!A:C, 3, FALSE)</f>
        <v>South</v>
      </c>
      <c r="O696">
        <f>VLOOKUP(D696, Products!A:D, 4, FALSE)</f>
        <v>1748</v>
      </c>
      <c r="P696">
        <f>IFERROR(VLOOKUP(C696, Customers!A:C, 3, FALSE), 0)</f>
        <v>36</v>
      </c>
      <c r="Q696">
        <f t="shared" si="10"/>
        <v>0.49333333333333335</v>
      </c>
    </row>
    <row r="697" spans="1:17" x14ac:dyDescent="0.3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  <c r="L697" t="str">
        <f>VLOOKUP(D697, Products!A:C, 3, FALSE)</f>
        <v>Apparel</v>
      </c>
      <c r="M697" t="str">
        <f>IFERROR(VLOOKUP(C697, Customers!A:E, 5, FALSE), "Unknown")</f>
        <v>Retail</v>
      </c>
      <c r="N697" t="str">
        <f>VLOOKUP(E697, Sales_Reps!A:C, 3, FALSE)</f>
        <v>North</v>
      </c>
      <c r="O697">
        <f>VLOOKUP(D697, Products!A:D, 4, FALSE)</f>
        <v>2629</v>
      </c>
      <c r="P697">
        <f>IFERROR(VLOOKUP(C697, Customers!A:C, 3, FALSE), 0)</f>
        <v>51</v>
      </c>
      <c r="Q697">
        <f t="shared" si="10"/>
        <v>0.26151685393258428</v>
      </c>
    </row>
    <row r="698" spans="1:17" x14ac:dyDescent="0.3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  <c r="L698" t="str">
        <f>VLOOKUP(D698, Products!A:C, 3, FALSE)</f>
        <v>Sports</v>
      </c>
      <c r="M698" t="str">
        <f>IFERROR(VLOOKUP(C698, Customers!A:E, 5, FALSE), "Unknown")</f>
        <v>Corporate</v>
      </c>
      <c r="N698" t="str">
        <f>VLOOKUP(E698, Sales_Reps!A:C, 3, FALSE)</f>
        <v>South</v>
      </c>
      <c r="O698">
        <f>VLOOKUP(D698, Products!A:D, 4, FALSE)</f>
        <v>974</v>
      </c>
      <c r="P698">
        <f>IFERROR(VLOOKUP(C698, Customers!A:C, 3, FALSE), 0)</f>
        <v>46</v>
      </c>
      <c r="Q698">
        <f t="shared" si="10"/>
        <v>0.59416666666666662</v>
      </c>
    </row>
    <row r="699" spans="1:17" x14ac:dyDescent="0.3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  <c r="L699" t="str">
        <f>VLOOKUP(D699, Products!A:C, 3, FALSE)</f>
        <v>Electronics</v>
      </c>
      <c r="M699" t="str">
        <f>IFERROR(VLOOKUP(C699, Customers!A:E, 5, FALSE), "Unknown")</f>
        <v>Retail</v>
      </c>
      <c r="N699" t="str">
        <f>VLOOKUP(E699, Sales_Reps!A:C, 3, FALSE)</f>
        <v>East</v>
      </c>
      <c r="O699">
        <f>VLOOKUP(D699, Products!A:D, 4, FALSE)</f>
        <v>1559</v>
      </c>
      <c r="P699">
        <f>IFERROR(VLOOKUP(C699, Customers!A:C, 3, FALSE), 0)</f>
        <v>60</v>
      </c>
      <c r="Q699">
        <f t="shared" si="10"/>
        <v>0.59715762273901807</v>
      </c>
    </row>
    <row r="700" spans="1:17" x14ac:dyDescent="0.3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  <c r="L700" t="str">
        <f>VLOOKUP(D700, Products!A:C, 3, FALSE)</f>
        <v>Grocery</v>
      </c>
      <c r="M700" t="str">
        <f>IFERROR(VLOOKUP(C700, Customers!A:E, 5, FALSE), "Unknown")</f>
        <v>Retail</v>
      </c>
      <c r="N700" t="str">
        <f>VLOOKUP(E700, Sales_Reps!A:C, 3, FALSE)</f>
        <v>East</v>
      </c>
      <c r="O700">
        <f>VLOOKUP(D700, Products!A:D, 4, FALSE)</f>
        <v>2214</v>
      </c>
      <c r="P700">
        <f>IFERROR(VLOOKUP(C700, Customers!A:C, 3, FALSE), 0)</f>
        <v>53</v>
      </c>
      <c r="Q700">
        <f t="shared" si="10"/>
        <v>0.39508196721311473</v>
      </c>
    </row>
    <row r="701" spans="1:17" x14ac:dyDescent="0.3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  <c r="L701" t="str">
        <f>VLOOKUP(D701, Products!A:C, 3, FALSE)</f>
        <v>Home</v>
      </c>
      <c r="M701" t="str">
        <f>IFERROR(VLOOKUP(C701, Customers!A:E, 5, FALSE), "Unknown")</f>
        <v>Corporate</v>
      </c>
      <c r="N701" t="str">
        <f>VLOOKUP(E701, Sales_Reps!A:C, 3, FALSE)</f>
        <v>West</v>
      </c>
      <c r="O701">
        <f>VLOOKUP(D701, Products!A:D, 4, FALSE)</f>
        <v>519</v>
      </c>
      <c r="P701">
        <f>IFERROR(VLOOKUP(C701, Customers!A:C, 3, FALSE), 0)</f>
        <v>24</v>
      </c>
      <c r="Q701">
        <f t="shared" si="10"/>
        <v>0.51944444444444449</v>
      </c>
    </row>
    <row r="702" spans="1:17" x14ac:dyDescent="0.3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  <c r="L702" t="str">
        <f>VLOOKUP(D702, Products!A:C, 3, FALSE)</f>
        <v>Sports</v>
      </c>
      <c r="M702" t="str">
        <f>IFERROR(VLOOKUP(C702, Customers!A:E, 5, FALSE), "Unknown")</f>
        <v>Retail</v>
      </c>
      <c r="N702" t="str">
        <f>VLOOKUP(E702, Sales_Reps!A:C, 3, FALSE)</f>
        <v>North</v>
      </c>
      <c r="O702">
        <f>VLOOKUP(D702, Products!A:D, 4, FALSE)</f>
        <v>1860</v>
      </c>
      <c r="P702">
        <f>IFERROR(VLOOKUP(C702, Customers!A:C, 3, FALSE), 0)</f>
        <v>52</v>
      </c>
      <c r="Q702">
        <f t="shared" si="10"/>
        <v>0.50793650793650791</v>
      </c>
    </row>
    <row r="703" spans="1:17" x14ac:dyDescent="0.3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  <c r="L703" t="str">
        <f>VLOOKUP(D703, Products!A:C, 3, FALSE)</f>
        <v>Apparel</v>
      </c>
      <c r="M703" t="str">
        <f>IFERROR(VLOOKUP(C703, Customers!A:E, 5, FALSE), "Unknown")</f>
        <v>SMB</v>
      </c>
      <c r="N703" t="str">
        <f>VLOOKUP(E703, Sales_Reps!A:C, 3, FALSE)</f>
        <v>East</v>
      </c>
      <c r="O703">
        <f>VLOOKUP(D703, Products!A:D, 4, FALSE)</f>
        <v>1173</v>
      </c>
      <c r="P703">
        <f>IFERROR(VLOOKUP(C703, Customers!A:C, 3, FALSE), 0)</f>
        <v>54</v>
      </c>
      <c r="Q703">
        <f t="shared" si="10"/>
        <v>0.52701612903225803</v>
      </c>
    </row>
    <row r="704" spans="1:17" x14ac:dyDescent="0.3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  <c r="L704" t="str">
        <f>VLOOKUP(D704, Products!A:C, 3, FALSE)</f>
        <v>Sports</v>
      </c>
      <c r="M704" t="str">
        <f>IFERROR(VLOOKUP(C704, Customers!A:E, 5, FALSE), "Unknown")</f>
        <v>SMB</v>
      </c>
      <c r="N704" t="str">
        <f>VLOOKUP(E704, Sales_Reps!A:C, 3, FALSE)</f>
        <v>South</v>
      </c>
      <c r="O704">
        <f>VLOOKUP(D704, Products!A:D, 4, FALSE)</f>
        <v>516</v>
      </c>
      <c r="P704">
        <f>IFERROR(VLOOKUP(C704, Customers!A:C, 3, FALSE), 0)</f>
        <v>54</v>
      </c>
      <c r="Q704">
        <f t="shared" si="10"/>
        <v>0.4891089108910891</v>
      </c>
    </row>
    <row r="705" spans="1:17" x14ac:dyDescent="0.3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  <c r="L705" t="str">
        <f>VLOOKUP(D705, Products!A:C, 3, FALSE)</f>
        <v>Sports</v>
      </c>
      <c r="M705" t="str">
        <f>IFERROR(VLOOKUP(C705, Customers!A:E, 5, FALSE), "Unknown")</f>
        <v>Retail</v>
      </c>
      <c r="N705" t="str">
        <f>VLOOKUP(E705, Sales_Reps!A:C, 3, FALSE)</f>
        <v>South</v>
      </c>
      <c r="O705">
        <f>VLOOKUP(D705, Products!A:D, 4, FALSE)</f>
        <v>302</v>
      </c>
      <c r="P705">
        <f>IFERROR(VLOOKUP(C705, Customers!A:C, 3, FALSE), 0)</f>
        <v>63</v>
      </c>
      <c r="Q705">
        <f t="shared" si="10"/>
        <v>0.35744680851063831</v>
      </c>
    </row>
    <row r="706" spans="1:17" x14ac:dyDescent="0.3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  <c r="L706" t="str">
        <f>VLOOKUP(D706, Products!A:C, 3, FALSE)</f>
        <v>Grocery</v>
      </c>
      <c r="M706" t="str">
        <f>IFERROR(VLOOKUP(C706, Customers!A:E, 5, FALSE), "Unknown")</f>
        <v>Retail</v>
      </c>
      <c r="N706" t="str">
        <f>VLOOKUP(E706, Sales_Reps!A:C, 3, FALSE)</f>
        <v>East</v>
      </c>
      <c r="O706">
        <f>VLOOKUP(D706, Products!A:D, 4, FALSE)</f>
        <v>1203</v>
      </c>
      <c r="P706">
        <f>IFERROR(VLOOKUP(C706, Customers!A:C, 3, FALSE), 0)</f>
        <v>24</v>
      </c>
      <c r="Q706">
        <f t="shared" si="10"/>
        <v>0.47004405286343615</v>
      </c>
    </row>
    <row r="707" spans="1:17" x14ac:dyDescent="0.3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  <c r="L707" t="str">
        <f>VLOOKUP(D707, Products!A:C, 3, FALSE)</f>
        <v>Grocery</v>
      </c>
      <c r="M707" t="str">
        <f>IFERROR(VLOOKUP(C707, Customers!A:E, 5, FALSE), "Unknown")</f>
        <v>Retail</v>
      </c>
      <c r="N707" t="str">
        <f>VLOOKUP(E707, Sales_Reps!A:C, 3, FALSE)</f>
        <v>South</v>
      </c>
      <c r="O707">
        <f>VLOOKUP(D707, Products!A:D, 4, FALSE)</f>
        <v>1435</v>
      </c>
      <c r="P707">
        <f>IFERROR(VLOOKUP(C707, Customers!A:C, 3, FALSE), 0)</f>
        <v>53</v>
      </c>
      <c r="Q707">
        <f t="shared" ref="Q707:Q770" si="11">(G707 - O707) / G707</f>
        <v>0.48007246376811596</v>
      </c>
    </row>
    <row r="708" spans="1:17" x14ac:dyDescent="0.3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  <c r="L708" t="str">
        <f>VLOOKUP(D708, Products!A:C, 3, FALSE)</f>
        <v>Sports</v>
      </c>
      <c r="M708" t="str">
        <f>IFERROR(VLOOKUP(C708, Customers!A:E, 5, FALSE), "Unknown")</f>
        <v>Retail</v>
      </c>
      <c r="N708" t="str">
        <f>VLOOKUP(E708, Sales_Reps!A:C, 3, FALSE)</f>
        <v>North</v>
      </c>
      <c r="O708">
        <f>VLOOKUP(D708, Products!A:D, 4, FALSE)</f>
        <v>2467</v>
      </c>
      <c r="P708">
        <f>IFERROR(VLOOKUP(C708, Customers!A:C, 3, FALSE), 0)</f>
        <v>41</v>
      </c>
      <c r="Q708">
        <f t="shared" si="11"/>
        <v>0.28492753623188405</v>
      </c>
    </row>
    <row r="709" spans="1:17" x14ac:dyDescent="0.3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  <c r="L709" t="str">
        <f>VLOOKUP(D709, Products!A:C, 3, FALSE)</f>
        <v>Grocery</v>
      </c>
      <c r="M709" t="str">
        <f>IFERROR(VLOOKUP(C709, Customers!A:E, 5, FALSE), "Unknown")</f>
        <v>Retail</v>
      </c>
      <c r="N709" t="str">
        <f>VLOOKUP(E709, Sales_Reps!A:C, 3, FALSE)</f>
        <v>North</v>
      </c>
      <c r="O709">
        <f>VLOOKUP(D709, Products!A:D, 4, FALSE)</f>
        <v>2214</v>
      </c>
      <c r="P709">
        <f>IFERROR(VLOOKUP(C709, Customers!A:C, 3, FALSE), 0)</f>
        <v>22</v>
      </c>
      <c r="Q709">
        <f t="shared" si="11"/>
        <v>0.39508196721311473</v>
      </c>
    </row>
    <row r="710" spans="1:17" x14ac:dyDescent="0.3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  <c r="L710" t="str">
        <f>VLOOKUP(D710, Products!A:C, 3, FALSE)</f>
        <v>Electronics</v>
      </c>
      <c r="M710" t="str">
        <f>IFERROR(VLOOKUP(C710, Customers!A:E, 5, FALSE), "Unknown")</f>
        <v>Retail</v>
      </c>
      <c r="N710" t="str">
        <f>VLOOKUP(E710, Sales_Reps!A:C, 3, FALSE)</f>
        <v>West</v>
      </c>
      <c r="O710">
        <f>VLOOKUP(D710, Products!A:D, 4, FALSE)</f>
        <v>517</v>
      </c>
      <c r="P710">
        <f>IFERROR(VLOOKUP(C710, Customers!A:C, 3, FALSE), 0)</f>
        <v>39</v>
      </c>
      <c r="Q710">
        <f t="shared" si="11"/>
        <v>0.57622950819672136</v>
      </c>
    </row>
    <row r="711" spans="1:17" x14ac:dyDescent="0.3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  <c r="L711" t="str">
        <f>VLOOKUP(D711, Products!A:C, 3, FALSE)</f>
        <v>Sports</v>
      </c>
      <c r="M711" t="str">
        <f>IFERROR(VLOOKUP(C711, Customers!A:E, 5, FALSE), "Unknown")</f>
        <v>SMB</v>
      </c>
      <c r="N711" t="str">
        <f>VLOOKUP(E711, Sales_Reps!A:C, 3, FALSE)</f>
        <v>North</v>
      </c>
      <c r="O711">
        <f>VLOOKUP(D711, Products!A:D, 4, FALSE)</f>
        <v>2265</v>
      </c>
      <c r="P711">
        <f>IFERROR(VLOOKUP(C711, Customers!A:C, 3, FALSE), 0)</f>
        <v>28</v>
      </c>
      <c r="Q711">
        <f t="shared" si="11"/>
        <v>0.58133086876155271</v>
      </c>
    </row>
    <row r="712" spans="1:17" x14ac:dyDescent="0.3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  <c r="L712" t="str">
        <f>VLOOKUP(D712, Products!A:C, 3, FALSE)</f>
        <v>Home</v>
      </c>
      <c r="M712" t="str">
        <f>IFERROR(VLOOKUP(C712, Customers!A:E, 5, FALSE), "Unknown")</f>
        <v>Retail</v>
      </c>
      <c r="N712" t="str">
        <f>VLOOKUP(E712, Sales_Reps!A:C, 3, FALSE)</f>
        <v>South</v>
      </c>
      <c r="O712">
        <f>VLOOKUP(D712, Products!A:D, 4, FALSE)</f>
        <v>1143</v>
      </c>
      <c r="P712">
        <f>IFERROR(VLOOKUP(C712, Customers!A:C, 3, FALSE), 0)</f>
        <v>22</v>
      </c>
      <c r="Q712">
        <f t="shared" si="11"/>
        <v>0.43694581280788175</v>
      </c>
    </row>
    <row r="713" spans="1:17" x14ac:dyDescent="0.3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  <c r="L713" t="str">
        <f>VLOOKUP(D713, Products!A:C, 3, FALSE)</f>
        <v>Electronics</v>
      </c>
      <c r="M713" t="str">
        <f>IFERROR(VLOOKUP(C713, Customers!A:E, 5, FALSE), "Unknown")</f>
        <v>Retail</v>
      </c>
      <c r="N713" t="str">
        <f>VLOOKUP(E713, Sales_Reps!A:C, 3, FALSE)</f>
        <v>South</v>
      </c>
      <c r="O713">
        <f>VLOOKUP(D713, Products!A:D, 4, FALSE)</f>
        <v>517</v>
      </c>
      <c r="P713">
        <f>IFERROR(VLOOKUP(C713, Customers!A:C, 3, FALSE), 0)</f>
        <v>26</v>
      </c>
      <c r="Q713">
        <f t="shared" si="11"/>
        <v>0.57622950819672136</v>
      </c>
    </row>
    <row r="714" spans="1:17" x14ac:dyDescent="0.3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  <c r="L714" t="str">
        <f>VLOOKUP(D714, Products!A:C, 3, FALSE)</f>
        <v>Electronics</v>
      </c>
      <c r="M714" t="str">
        <f>IFERROR(VLOOKUP(C714, Customers!A:E, 5, FALSE), "Unknown")</f>
        <v>Corporate</v>
      </c>
      <c r="N714" t="str">
        <f>VLOOKUP(E714, Sales_Reps!A:C, 3, FALSE)</f>
        <v>North</v>
      </c>
      <c r="O714">
        <f>VLOOKUP(D714, Products!A:D, 4, FALSE)</f>
        <v>1259</v>
      </c>
      <c r="P714">
        <f>IFERROR(VLOOKUP(C714, Customers!A:C, 3, FALSE), 0)</f>
        <v>55</v>
      </c>
      <c r="Q714">
        <f t="shared" si="11"/>
        <v>0.52669172932330832</v>
      </c>
    </row>
    <row r="715" spans="1:17" x14ac:dyDescent="0.3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  <c r="L715" t="str">
        <f>VLOOKUP(D715, Products!A:C, 3, FALSE)</f>
        <v>Grocery</v>
      </c>
      <c r="M715" t="str">
        <f>IFERROR(VLOOKUP(C715, Customers!A:E, 5, FALSE), "Unknown")</f>
        <v>SMB</v>
      </c>
      <c r="N715" t="str">
        <f>VLOOKUP(E715, Sales_Reps!A:C, 3, FALSE)</f>
        <v>South</v>
      </c>
      <c r="O715">
        <f>VLOOKUP(D715, Products!A:D, 4, FALSE)</f>
        <v>2027</v>
      </c>
      <c r="P715">
        <f>IFERROR(VLOOKUP(C715, Customers!A:C, 3, FALSE), 0)</f>
        <v>42</v>
      </c>
      <c r="Q715">
        <f t="shared" si="11"/>
        <v>0.50196560196560192</v>
      </c>
    </row>
    <row r="716" spans="1:17" x14ac:dyDescent="0.3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  <c r="L716" t="str">
        <f>VLOOKUP(D716, Products!A:C, 3, FALSE)</f>
        <v>Beauty</v>
      </c>
      <c r="M716" t="str">
        <f>IFERROR(VLOOKUP(C716, Customers!A:E, 5, FALSE), "Unknown")</f>
        <v>Retail</v>
      </c>
      <c r="N716" t="str">
        <f>VLOOKUP(E716, Sales_Reps!A:C, 3, FALSE)</f>
        <v>South</v>
      </c>
      <c r="O716">
        <f>VLOOKUP(D716, Products!A:D, 4, FALSE)</f>
        <v>675</v>
      </c>
      <c r="P716">
        <f>IFERROR(VLOOKUP(C716, Customers!A:C, 3, FALSE), 0)</f>
        <v>31</v>
      </c>
      <c r="Q716">
        <f t="shared" si="11"/>
        <v>0.296875</v>
      </c>
    </row>
    <row r="717" spans="1:17" x14ac:dyDescent="0.3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  <c r="L717" t="str">
        <f>VLOOKUP(D717, Products!A:C, 3, FALSE)</f>
        <v>Home</v>
      </c>
      <c r="M717" t="str">
        <f>IFERROR(VLOOKUP(C717, Customers!A:E, 5, FALSE), "Unknown")</f>
        <v>Corporate</v>
      </c>
      <c r="N717" t="str">
        <f>VLOOKUP(E717, Sales_Reps!A:C, 3, FALSE)</f>
        <v>West</v>
      </c>
      <c r="O717">
        <f>VLOOKUP(D717, Products!A:D, 4, FALSE)</f>
        <v>2135</v>
      </c>
      <c r="P717">
        <f>IFERROR(VLOOKUP(C717, Customers!A:C, 3, FALSE), 0)</f>
        <v>49</v>
      </c>
      <c r="Q717">
        <f t="shared" si="11"/>
        <v>0.42761394101876676</v>
      </c>
    </row>
    <row r="718" spans="1:17" x14ac:dyDescent="0.3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  <c r="L718" t="str">
        <f>VLOOKUP(D718, Products!A:C, 3, FALSE)</f>
        <v>Sports</v>
      </c>
      <c r="M718" t="str">
        <f>IFERROR(VLOOKUP(C718, Customers!A:E, 5, FALSE), "Unknown")</f>
        <v>SMB</v>
      </c>
      <c r="N718" t="str">
        <f>VLOOKUP(E718, Sales_Reps!A:C, 3, FALSE)</f>
        <v>North</v>
      </c>
      <c r="O718">
        <f>VLOOKUP(D718, Products!A:D, 4, FALSE)</f>
        <v>705</v>
      </c>
      <c r="P718">
        <f>IFERROR(VLOOKUP(C718, Customers!A:C, 3, FALSE), 0)</f>
        <v>62</v>
      </c>
      <c r="Q718">
        <f t="shared" si="11"/>
        <v>0.265625</v>
      </c>
    </row>
    <row r="719" spans="1:17" x14ac:dyDescent="0.3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  <c r="L719" t="str">
        <f>VLOOKUP(D719, Products!A:C, 3, FALSE)</f>
        <v>Apparel</v>
      </c>
      <c r="M719" t="str">
        <f>IFERROR(VLOOKUP(C719, Customers!A:E, 5, FALSE), "Unknown")</f>
        <v>Retail</v>
      </c>
      <c r="N719" t="str">
        <f>VLOOKUP(E719, Sales_Reps!A:C, 3, FALSE)</f>
        <v>North</v>
      </c>
      <c r="O719">
        <f>VLOOKUP(D719, Products!A:D, 4, FALSE)</f>
        <v>1748</v>
      </c>
      <c r="P719">
        <f>IFERROR(VLOOKUP(C719, Customers!A:C, 3, FALSE), 0)</f>
        <v>38</v>
      </c>
      <c r="Q719">
        <f t="shared" si="11"/>
        <v>0.49333333333333335</v>
      </c>
    </row>
    <row r="720" spans="1:17" x14ac:dyDescent="0.3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  <c r="L720" t="str">
        <f>VLOOKUP(D720, Products!A:C, 3, FALSE)</f>
        <v>Sports</v>
      </c>
      <c r="M720" t="str">
        <f>IFERROR(VLOOKUP(C720, Customers!A:E, 5, FALSE), "Unknown")</f>
        <v>Corporate</v>
      </c>
      <c r="N720" t="str">
        <f>VLOOKUP(E720, Sales_Reps!A:C, 3, FALSE)</f>
        <v>South</v>
      </c>
      <c r="O720">
        <f>VLOOKUP(D720, Products!A:D, 4, FALSE)</f>
        <v>2265</v>
      </c>
      <c r="P720">
        <f>IFERROR(VLOOKUP(C720, Customers!A:C, 3, FALSE), 0)</f>
        <v>41</v>
      </c>
      <c r="Q720">
        <f t="shared" si="11"/>
        <v>0.58133086876155271</v>
      </c>
    </row>
    <row r="721" spans="1:17" x14ac:dyDescent="0.3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  <c r="L721" t="str">
        <f>VLOOKUP(D721, Products!A:C, 3, FALSE)</f>
        <v>Beauty</v>
      </c>
      <c r="M721" t="str">
        <f>IFERROR(VLOOKUP(C721, Customers!A:E, 5, FALSE), "Unknown")</f>
        <v>SMB</v>
      </c>
      <c r="N721" t="str">
        <f>VLOOKUP(E721, Sales_Reps!A:C, 3, FALSE)</f>
        <v>East</v>
      </c>
      <c r="O721">
        <f>VLOOKUP(D721, Products!A:D, 4, FALSE)</f>
        <v>1728</v>
      </c>
      <c r="P721">
        <f>IFERROR(VLOOKUP(C721, Customers!A:C, 3, FALSE), 0)</f>
        <v>65</v>
      </c>
      <c r="Q721">
        <f t="shared" si="11"/>
        <v>0.48417910447761192</v>
      </c>
    </row>
    <row r="722" spans="1:17" x14ac:dyDescent="0.3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  <c r="L722" t="str">
        <f>VLOOKUP(D722, Products!A:C, 3, FALSE)</f>
        <v>Apparel</v>
      </c>
      <c r="M722" t="str">
        <f>IFERROR(VLOOKUP(C722, Customers!A:E, 5, FALSE), "Unknown")</f>
        <v>Retail</v>
      </c>
      <c r="N722" t="str">
        <f>VLOOKUP(E722, Sales_Reps!A:C, 3, FALSE)</f>
        <v>North</v>
      </c>
      <c r="O722">
        <f>VLOOKUP(D722, Products!A:D, 4, FALSE)</f>
        <v>1962</v>
      </c>
      <c r="P722">
        <f>IFERROR(VLOOKUP(C722, Customers!A:C, 3, FALSE), 0)</f>
        <v>53</v>
      </c>
      <c r="Q722">
        <f t="shared" si="11"/>
        <v>0.2786764705882353</v>
      </c>
    </row>
    <row r="723" spans="1:17" x14ac:dyDescent="0.3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  <c r="L723" t="str">
        <f>VLOOKUP(D723, Products!A:C, 3, FALSE)</f>
        <v>Grocery</v>
      </c>
      <c r="M723" t="str">
        <f>IFERROR(VLOOKUP(C723, Customers!A:E, 5, FALSE), "Unknown")</f>
        <v>Retail</v>
      </c>
      <c r="N723" t="str">
        <f>VLOOKUP(E723, Sales_Reps!A:C, 3, FALSE)</f>
        <v>East</v>
      </c>
      <c r="O723">
        <f>VLOOKUP(D723, Products!A:D, 4, FALSE)</f>
        <v>2214</v>
      </c>
      <c r="P723">
        <f>IFERROR(VLOOKUP(C723, Customers!A:C, 3, FALSE), 0)</f>
        <v>27</v>
      </c>
      <c r="Q723">
        <f t="shared" si="11"/>
        <v>0.39508196721311473</v>
      </c>
    </row>
    <row r="724" spans="1:17" x14ac:dyDescent="0.3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  <c r="L724" t="str">
        <f>VLOOKUP(D724, Products!A:C, 3, FALSE)</f>
        <v>Electronics</v>
      </c>
      <c r="M724" t="str">
        <f>IFERROR(VLOOKUP(C724, Customers!A:E, 5, FALSE), "Unknown")</f>
        <v>SMB</v>
      </c>
      <c r="N724" t="str">
        <f>VLOOKUP(E724, Sales_Reps!A:C, 3, FALSE)</f>
        <v>South</v>
      </c>
      <c r="O724">
        <f>VLOOKUP(D724, Products!A:D, 4, FALSE)</f>
        <v>128</v>
      </c>
      <c r="P724">
        <f>IFERROR(VLOOKUP(C724, Customers!A:C, 3, FALSE), 0)</f>
        <v>59</v>
      </c>
      <c r="Q724">
        <f t="shared" si="11"/>
        <v>0.57333333333333336</v>
      </c>
    </row>
    <row r="725" spans="1:17" x14ac:dyDescent="0.3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  <c r="L725" t="str">
        <f>VLOOKUP(D725, Products!A:C, 3, FALSE)</f>
        <v>Beauty</v>
      </c>
      <c r="M725" t="str">
        <f>IFERROR(VLOOKUP(C725, Customers!A:E, 5, FALSE), "Unknown")</f>
        <v>Corporate</v>
      </c>
      <c r="N725" t="str">
        <f>VLOOKUP(E725, Sales_Reps!A:C, 3, FALSE)</f>
        <v>West</v>
      </c>
      <c r="O725">
        <f>VLOOKUP(D725, Products!A:D, 4, FALSE)</f>
        <v>1219</v>
      </c>
      <c r="P725">
        <f>IFERROR(VLOOKUP(C725, Customers!A:C, 3, FALSE), 0)</f>
        <v>52</v>
      </c>
      <c r="Q725">
        <f t="shared" si="11"/>
        <v>0.46768558951965067</v>
      </c>
    </row>
    <row r="726" spans="1:17" x14ac:dyDescent="0.3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  <c r="L726" t="str">
        <f>VLOOKUP(D726, Products!A:C, 3, FALSE)</f>
        <v>Beauty</v>
      </c>
      <c r="M726" t="str">
        <f>IFERROR(VLOOKUP(C726, Customers!A:E, 5, FALSE), "Unknown")</f>
        <v>Corporate</v>
      </c>
      <c r="N726" t="str">
        <f>VLOOKUP(E726, Sales_Reps!A:C, 3, FALSE)</f>
        <v>South</v>
      </c>
      <c r="O726">
        <f>VLOOKUP(D726, Products!A:D, 4, FALSE)</f>
        <v>2768</v>
      </c>
      <c r="P726">
        <f>IFERROR(VLOOKUP(C726, Customers!A:C, 3, FALSE), 0)</f>
        <v>52</v>
      </c>
      <c r="Q726">
        <f t="shared" si="11"/>
        <v>0.43278688524590164</v>
      </c>
    </row>
    <row r="727" spans="1:17" x14ac:dyDescent="0.3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  <c r="L727" t="str">
        <f>VLOOKUP(D727, Products!A:C, 3, FALSE)</f>
        <v>Electronics</v>
      </c>
      <c r="M727" t="str">
        <f>IFERROR(VLOOKUP(C727, Customers!A:E, 5, FALSE), "Unknown")</f>
        <v>Retail</v>
      </c>
      <c r="N727" t="str">
        <f>VLOOKUP(E727, Sales_Reps!A:C, 3, FALSE)</f>
        <v>North</v>
      </c>
      <c r="O727">
        <f>VLOOKUP(D727, Products!A:D, 4, FALSE)</f>
        <v>128</v>
      </c>
      <c r="P727">
        <f>IFERROR(VLOOKUP(C727, Customers!A:C, 3, FALSE), 0)</f>
        <v>36</v>
      </c>
      <c r="Q727">
        <f t="shared" si="11"/>
        <v>0.57333333333333336</v>
      </c>
    </row>
    <row r="728" spans="1:17" x14ac:dyDescent="0.3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  <c r="L728" t="str">
        <f>VLOOKUP(D728, Products!A:C, 3, FALSE)</f>
        <v>Electronics</v>
      </c>
      <c r="M728" t="str">
        <f>IFERROR(VLOOKUP(C728, Customers!A:E, 5, FALSE), "Unknown")</f>
        <v>SMB</v>
      </c>
      <c r="N728" t="str">
        <f>VLOOKUP(E728, Sales_Reps!A:C, 3, FALSE)</f>
        <v>West</v>
      </c>
      <c r="O728">
        <f>VLOOKUP(D728, Products!A:D, 4, FALSE)</f>
        <v>1259</v>
      </c>
      <c r="P728">
        <f>IFERROR(VLOOKUP(C728, Customers!A:C, 3, FALSE), 0)</f>
        <v>25</v>
      </c>
      <c r="Q728">
        <f t="shared" si="11"/>
        <v>0.52669172932330832</v>
      </c>
    </row>
    <row r="729" spans="1:17" x14ac:dyDescent="0.3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  <c r="L729" t="str">
        <f>VLOOKUP(D729, Products!A:C, 3, FALSE)</f>
        <v>Home</v>
      </c>
      <c r="M729" t="str">
        <f>IFERROR(VLOOKUP(C729, Customers!A:E, 5, FALSE), "Unknown")</f>
        <v>Retail</v>
      </c>
      <c r="N729" t="str">
        <f>VLOOKUP(E729, Sales_Reps!A:C, 3, FALSE)</f>
        <v>West</v>
      </c>
      <c r="O729">
        <f>VLOOKUP(D729, Products!A:D, 4, FALSE)</f>
        <v>464</v>
      </c>
      <c r="P729">
        <f>IFERROR(VLOOKUP(C729, Customers!A:C, 3, FALSE), 0)</f>
        <v>52</v>
      </c>
      <c r="Q729">
        <f t="shared" si="11"/>
        <v>0.57431192660550456</v>
      </c>
    </row>
    <row r="730" spans="1:17" x14ac:dyDescent="0.3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  <c r="L730" t="str">
        <f>VLOOKUP(D730, Products!A:C, 3, FALSE)</f>
        <v>Electronics</v>
      </c>
      <c r="M730" t="str">
        <f>IFERROR(VLOOKUP(C730, Customers!A:E, 5, FALSE), "Unknown")</f>
        <v>Corporate</v>
      </c>
      <c r="N730" t="str">
        <f>VLOOKUP(E730, Sales_Reps!A:C, 3, FALSE)</f>
        <v>South</v>
      </c>
      <c r="O730">
        <f>VLOOKUP(D730, Products!A:D, 4, FALSE)</f>
        <v>861</v>
      </c>
      <c r="P730">
        <f>IFERROR(VLOOKUP(C730, Customers!A:C, 3, FALSE), 0)</f>
        <v>29</v>
      </c>
      <c r="Q730">
        <f t="shared" si="11"/>
        <v>0.39790209790209791</v>
      </c>
    </row>
    <row r="731" spans="1:17" x14ac:dyDescent="0.3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  <c r="L731" t="str">
        <f>VLOOKUP(D731, Products!A:C, 3, FALSE)</f>
        <v>Electronics</v>
      </c>
      <c r="M731" t="str">
        <f>IFERROR(VLOOKUP(C731, Customers!A:E, 5, FALSE), "Unknown")</f>
        <v>Retail</v>
      </c>
      <c r="N731" t="str">
        <f>VLOOKUP(E731, Sales_Reps!A:C, 3, FALSE)</f>
        <v>North</v>
      </c>
      <c r="O731">
        <f>VLOOKUP(D731, Products!A:D, 4, FALSE)</f>
        <v>1149</v>
      </c>
      <c r="P731">
        <f>IFERROR(VLOOKUP(C731, Customers!A:C, 3, FALSE), 0)</f>
        <v>37</v>
      </c>
      <c r="Q731">
        <f t="shared" si="11"/>
        <v>0.56477272727272732</v>
      </c>
    </row>
    <row r="732" spans="1:17" x14ac:dyDescent="0.3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  <c r="L732" t="str">
        <f>VLOOKUP(D732, Products!A:C, 3, FALSE)</f>
        <v>Apparel</v>
      </c>
      <c r="M732" t="str">
        <f>IFERROR(VLOOKUP(C732, Customers!A:E, 5, FALSE), "Unknown")</f>
        <v>Corporate</v>
      </c>
      <c r="N732" t="str">
        <f>VLOOKUP(E732, Sales_Reps!A:C, 3, FALSE)</f>
        <v>North</v>
      </c>
      <c r="O732">
        <f>VLOOKUP(D732, Products!A:D, 4, FALSE)</f>
        <v>1962</v>
      </c>
      <c r="P732">
        <f>IFERROR(VLOOKUP(C732, Customers!A:C, 3, FALSE), 0)</f>
        <v>52</v>
      </c>
      <c r="Q732">
        <f t="shared" si="11"/>
        <v>0.2786764705882353</v>
      </c>
    </row>
    <row r="733" spans="1:17" x14ac:dyDescent="0.3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  <c r="L733" t="str">
        <f>VLOOKUP(D733, Products!A:C, 3, FALSE)</f>
        <v>Apparel</v>
      </c>
      <c r="M733" t="str">
        <f>IFERROR(VLOOKUP(C733, Customers!A:E, 5, FALSE), "Unknown")</f>
        <v>Corporate</v>
      </c>
      <c r="N733" t="str">
        <f>VLOOKUP(E733, Sales_Reps!A:C, 3, FALSE)</f>
        <v>South</v>
      </c>
      <c r="O733">
        <f>VLOOKUP(D733, Products!A:D, 4, FALSE)</f>
        <v>2611</v>
      </c>
      <c r="P733">
        <f>IFERROR(VLOOKUP(C733, Customers!A:C, 3, FALSE), 0)</f>
        <v>52</v>
      </c>
      <c r="Q733">
        <f t="shared" si="11"/>
        <v>0.28269230769230769</v>
      </c>
    </row>
    <row r="734" spans="1:17" x14ac:dyDescent="0.3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  <c r="L734" t="str">
        <f>VLOOKUP(D734, Products!A:C, 3, FALSE)</f>
        <v>Beauty</v>
      </c>
      <c r="M734" t="str">
        <f>IFERROR(VLOOKUP(C734, Customers!A:E, 5, FALSE), "Unknown")</f>
        <v>Unknown</v>
      </c>
      <c r="N734" t="str">
        <f>VLOOKUP(E734, Sales_Reps!A:C, 3, FALSE)</f>
        <v>East</v>
      </c>
      <c r="O734">
        <f>VLOOKUP(D734, Products!A:D, 4, FALSE)</f>
        <v>2617</v>
      </c>
      <c r="P734">
        <f>IFERROR(VLOOKUP(C734, Customers!A:C, 3, FALSE), 0)</f>
        <v>0</v>
      </c>
      <c r="Q734">
        <f t="shared" si="11"/>
        <v>0.56957236842105263</v>
      </c>
    </row>
    <row r="735" spans="1:17" x14ac:dyDescent="0.3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  <c r="L735" t="str">
        <f>VLOOKUP(D735, Products!A:C, 3, FALSE)</f>
        <v>Electronics</v>
      </c>
      <c r="M735" t="str">
        <f>IFERROR(VLOOKUP(C735, Customers!A:E, 5, FALSE), "Unknown")</f>
        <v>Corporate</v>
      </c>
      <c r="N735" t="str">
        <f>VLOOKUP(E735, Sales_Reps!A:C, 3, FALSE)</f>
        <v>South</v>
      </c>
      <c r="O735">
        <f>VLOOKUP(D735, Products!A:D, 4, FALSE)</f>
        <v>2405</v>
      </c>
      <c r="P735">
        <f>IFERROR(VLOOKUP(C735, Customers!A:C, 3, FALSE), 0)</f>
        <v>41</v>
      </c>
      <c r="Q735">
        <f t="shared" si="11"/>
        <v>0.54878048780487809</v>
      </c>
    </row>
    <row r="736" spans="1:17" x14ac:dyDescent="0.3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  <c r="L736" t="str">
        <f>VLOOKUP(D736, Products!A:C, 3, FALSE)</f>
        <v>Home</v>
      </c>
      <c r="M736" t="str">
        <f>IFERROR(VLOOKUP(C736, Customers!A:E, 5, FALSE), "Unknown")</f>
        <v>Retail</v>
      </c>
      <c r="N736" t="str">
        <f>VLOOKUP(E736, Sales_Reps!A:C, 3, FALSE)</f>
        <v>West</v>
      </c>
      <c r="O736">
        <f>VLOOKUP(D736, Products!A:D, 4, FALSE)</f>
        <v>1850</v>
      </c>
      <c r="P736">
        <f>IFERROR(VLOOKUP(C736, Customers!A:C, 3, FALSE), 0)</f>
        <v>61</v>
      </c>
      <c r="Q736">
        <f t="shared" si="11"/>
        <v>0.59869848156182215</v>
      </c>
    </row>
    <row r="737" spans="1:17" x14ac:dyDescent="0.3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  <c r="L737" t="str">
        <f>VLOOKUP(D737, Products!A:C, 3, FALSE)</f>
        <v>Electronics</v>
      </c>
      <c r="M737" t="str">
        <f>IFERROR(VLOOKUP(C737, Customers!A:E, 5, FALSE), "Unknown")</f>
        <v>Retail</v>
      </c>
      <c r="N737" t="str">
        <f>VLOOKUP(E737, Sales_Reps!A:C, 3, FALSE)</f>
        <v>West</v>
      </c>
      <c r="O737">
        <f>VLOOKUP(D737, Products!A:D, 4, FALSE)</f>
        <v>2405</v>
      </c>
      <c r="P737">
        <f>IFERROR(VLOOKUP(C737, Customers!A:C, 3, FALSE), 0)</f>
        <v>36</v>
      </c>
      <c r="Q737">
        <f t="shared" si="11"/>
        <v>0.54878048780487809</v>
      </c>
    </row>
    <row r="738" spans="1:17" x14ac:dyDescent="0.3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  <c r="L738" t="str">
        <f>VLOOKUP(D738, Products!A:C, 3, FALSE)</f>
        <v>Beauty</v>
      </c>
      <c r="M738" t="str">
        <f>IFERROR(VLOOKUP(C738, Customers!A:E, 5, FALSE), "Unknown")</f>
        <v>Retail</v>
      </c>
      <c r="N738" t="str">
        <f>VLOOKUP(E738, Sales_Reps!A:C, 3, FALSE)</f>
        <v>East</v>
      </c>
      <c r="O738">
        <f>VLOOKUP(D738, Products!A:D, 4, FALSE)</f>
        <v>2617</v>
      </c>
      <c r="P738">
        <f>IFERROR(VLOOKUP(C738, Customers!A:C, 3, FALSE), 0)</f>
        <v>49</v>
      </c>
      <c r="Q738">
        <f t="shared" si="11"/>
        <v>0.56957236842105263</v>
      </c>
    </row>
    <row r="739" spans="1:17" x14ac:dyDescent="0.3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  <c r="L739" t="str">
        <f>VLOOKUP(D739, Products!A:C, 3, FALSE)</f>
        <v>Apparel</v>
      </c>
      <c r="M739" t="str">
        <f>IFERROR(VLOOKUP(C739, Customers!A:E, 5, FALSE), "Unknown")</f>
        <v>Corporate</v>
      </c>
      <c r="N739" t="str">
        <f>VLOOKUP(E739, Sales_Reps!A:C, 3, FALSE)</f>
        <v>East</v>
      </c>
      <c r="O739">
        <f>VLOOKUP(D739, Products!A:D, 4, FALSE)</f>
        <v>2611</v>
      </c>
      <c r="P739">
        <f>IFERROR(VLOOKUP(C739, Customers!A:C, 3, FALSE), 0)</f>
        <v>51</v>
      </c>
      <c r="Q739">
        <f t="shared" si="11"/>
        <v>0.28269230769230769</v>
      </c>
    </row>
    <row r="740" spans="1:17" x14ac:dyDescent="0.3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  <c r="L740" t="str">
        <f>VLOOKUP(D740, Products!A:C, 3, FALSE)</f>
        <v>Electronics</v>
      </c>
      <c r="M740" t="str">
        <f>IFERROR(VLOOKUP(C740, Customers!A:E, 5, FALSE), "Unknown")</f>
        <v>Corporate</v>
      </c>
      <c r="N740" t="str">
        <f>VLOOKUP(E740, Sales_Reps!A:C, 3, FALSE)</f>
        <v>South</v>
      </c>
      <c r="O740">
        <f>VLOOKUP(D740, Products!A:D, 4, FALSE)</f>
        <v>1259</v>
      </c>
      <c r="P740">
        <f>IFERROR(VLOOKUP(C740, Customers!A:C, 3, FALSE), 0)</f>
        <v>35</v>
      </c>
      <c r="Q740">
        <f t="shared" si="11"/>
        <v>0.52669172932330832</v>
      </c>
    </row>
    <row r="741" spans="1:17" x14ac:dyDescent="0.3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  <c r="L741" t="str">
        <f>VLOOKUP(D741, Products!A:C, 3, FALSE)</f>
        <v>Beauty</v>
      </c>
      <c r="M741" t="str">
        <f>IFERROR(VLOOKUP(C741, Customers!A:E, 5, FALSE), "Unknown")</f>
        <v>SMB</v>
      </c>
      <c r="N741" t="str">
        <f>VLOOKUP(E741, Sales_Reps!A:C, 3, FALSE)</f>
        <v>South</v>
      </c>
      <c r="O741">
        <f>VLOOKUP(D741, Products!A:D, 4, FALSE)</f>
        <v>1728</v>
      </c>
      <c r="P741">
        <f>IFERROR(VLOOKUP(C741, Customers!A:C, 3, FALSE), 0)</f>
        <v>29</v>
      </c>
      <c r="Q741">
        <f t="shared" si="11"/>
        <v>0.48417910447761192</v>
      </c>
    </row>
    <row r="742" spans="1:17" x14ac:dyDescent="0.3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  <c r="L742" t="str">
        <f>VLOOKUP(D742, Products!A:C, 3, FALSE)</f>
        <v>Home</v>
      </c>
      <c r="M742" t="str">
        <f>IFERROR(VLOOKUP(C742, Customers!A:E, 5, FALSE), "Unknown")</f>
        <v>SMB</v>
      </c>
      <c r="N742" t="str">
        <f>VLOOKUP(E742, Sales_Reps!A:C, 3, FALSE)</f>
        <v>East</v>
      </c>
      <c r="O742">
        <f>VLOOKUP(D742, Products!A:D, 4, FALSE)</f>
        <v>1850</v>
      </c>
      <c r="P742">
        <f>IFERROR(VLOOKUP(C742, Customers!A:C, 3, FALSE), 0)</f>
        <v>44</v>
      </c>
      <c r="Q742">
        <f t="shared" si="11"/>
        <v>0.59869848156182215</v>
      </c>
    </row>
    <row r="743" spans="1:17" x14ac:dyDescent="0.3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  <c r="L743" t="str">
        <f>VLOOKUP(D743, Products!A:C, 3, FALSE)</f>
        <v>Sports</v>
      </c>
      <c r="M743" t="str">
        <f>IFERROR(VLOOKUP(C743, Customers!A:E, 5, FALSE), "Unknown")</f>
        <v>Corporate</v>
      </c>
      <c r="N743" t="str">
        <f>VLOOKUP(E743, Sales_Reps!A:C, 3, FALSE)</f>
        <v>South</v>
      </c>
      <c r="O743">
        <f>VLOOKUP(D743, Products!A:D, 4, FALSE)</f>
        <v>2028</v>
      </c>
      <c r="P743">
        <f>IFERROR(VLOOKUP(C743, Customers!A:C, 3, FALSE), 0)</f>
        <v>40</v>
      </c>
      <c r="Q743">
        <f t="shared" si="11"/>
        <v>0.29090909090909089</v>
      </c>
    </row>
    <row r="744" spans="1:17" x14ac:dyDescent="0.3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  <c r="L744" t="str">
        <f>VLOOKUP(D744, Products!A:C, 3, FALSE)</f>
        <v>Beauty</v>
      </c>
      <c r="M744" t="str">
        <f>IFERROR(VLOOKUP(C744, Customers!A:E, 5, FALSE), "Unknown")</f>
        <v>Retail</v>
      </c>
      <c r="N744" t="str">
        <f>VLOOKUP(E744, Sales_Reps!A:C, 3, FALSE)</f>
        <v>South</v>
      </c>
      <c r="O744">
        <f>VLOOKUP(D744, Products!A:D, 4, FALSE)</f>
        <v>1728</v>
      </c>
      <c r="P744">
        <f>IFERROR(VLOOKUP(C744, Customers!A:C, 3, FALSE), 0)</f>
        <v>36</v>
      </c>
      <c r="Q744">
        <f t="shared" si="11"/>
        <v>0.48417910447761192</v>
      </c>
    </row>
    <row r="745" spans="1:17" x14ac:dyDescent="0.3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  <c r="L745" t="str">
        <f>VLOOKUP(D745, Products!A:C, 3, FALSE)</f>
        <v>Grocery</v>
      </c>
      <c r="M745" t="str">
        <f>IFERROR(VLOOKUP(C745, Customers!A:E, 5, FALSE), "Unknown")</f>
        <v>Retail</v>
      </c>
      <c r="N745" t="str">
        <f>VLOOKUP(E745, Sales_Reps!A:C, 3, FALSE)</f>
        <v>West</v>
      </c>
      <c r="O745">
        <f>VLOOKUP(D745, Products!A:D, 4, FALSE)</f>
        <v>1010</v>
      </c>
      <c r="P745">
        <f>IFERROR(VLOOKUP(C745, Customers!A:C, 3, FALSE), 0)</f>
        <v>28</v>
      </c>
      <c r="Q745">
        <f t="shared" si="11"/>
        <v>0.54298642533936647</v>
      </c>
    </row>
    <row r="746" spans="1:17" x14ac:dyDescent="0.3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  <c r="L746" t="str">
        <f>VLOOKUP(D746, Products!A:C, 3, FALSE)</f>
        <v>Beauty</v>
      </c>
      <c r="M746" t="str">
        <f>IFERROR(VLOOKUP(C746, Customers!A:E, 5, FALSE), "Unknown")</f>
        <v>Corporate</v>
      </c>
      <c r="N746" t="str">
        <f>VLOOKUP(E746, Sales_Reps!A:C, 3, FALSE)</f>
        <v>South</v>
      </c>
      <c r="O746">
        <f>VLOOKUP(D746, Products!A:D, 4, FALSE)</f>
        <v>2420</v>
      </c>
      <c r="P746">
        <f>IFERROR(VLOOKUP(C746, Customers!A:C, 3, FALSE), 0)</f>
        <v>37</v>
      </c>
      <c r="Q746">
        <f t="shared" si="11"/>
        <v>0.29855072463768118</v>
      </c>
    </row>
    <row r="747" spans="1:17" x14ac:dyDescent="0.3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  <c r="L747" t="str">
        <f>VLOOKUP(D747, Products!A:C, 3, FALSE)</f>
        <v>Beauty</v>
      </c>
      <c r="M747" t="str">
        <f>IFERROR(VLOOKUP(C747, Customers!A:E, 5, FALSE), "Unknown")</f>
        <v>Retail</v>
      </c>
      <c r="N747" t="str">
        <f>VLOOKUP(E747, Sales_Reps!A:C, 3, FALSE)</f>
        <v>West</v>
      </c>
      <c r="O747">
        <f>VLOOKUP(D747, Products!A:D, 4, FALSE)</f>
        <v>2237</v>
      </c>
      <c r="P747">
        <f>IFERROR(VLOOKUP(C747, Customers!A:C, 3, FALSE), 0)</f>
        <v>38</v>
      </c>
      <c r="Q747">
        <f t="shared" si="11"/>
        <v>0.56137254901960787</v>
      </c>
    </row>
    <row r="748" spans="1:17" x14ac:dyDescent="0.3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  <c r="L748" t="str">
        <f>VLOOKUP(D748, Products!A:C, 3, FALSE)</f>
        <v>Beauty</v>
      </c>
      <c r="M748" t="str">
        <f>IFERROR(VLOOKUP(C748, Customers!A:E, 5, FALSE), "Unknown")</f>
        <v>Retail</v>
      </c>
      <c r="N748" t="str">
        <f>VLOOKUP(E748, Sales_Reps!A:C, 3, FALSE)</f>
        <v>North</v>
      </c>
      <c r="O748">
        <f>VLOOKUP(D748, Products!A:D, 4, FALSE)</f>
        <v>2237</v>
      </c>
      <c r="P748">
        <f>IFERROR(VLOOKUP(C748, Customers!A:C, 3, FALSE), 0)</f>
        <v>29</v>
      </c>
      <c r="Q748">
        <f t="shared" si="11"/>
        <v>0.56137254901960787</v>
      </c>
    </row>
    <row r="749" spans="1:17" x14ac:dyDescent="0.3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  <c r="L749" t="str">
        <f>VLOOKUP(D749, Products!A:C, 3, FALSE)</f>
        <v>Home</v>
      </c>
      <c r="M749" t="str">
        <f>IFERROR(VLOOKUP(C749, Customers!A:E, 5, FALSE), "Unknown")</f>
        <v>Retail</v>
      </c>
      <c r="N749" t="str">
        <f>VLOOKUP(E749, Sales_Reps!A:C, 3, FALSE)</f>
        <v>North</v>
      </c>
      <c r="O749">
        <f>VLOOKUP(D749, Products!A:D, 4, FALSE)</f>
        <v>329</v>
      </c>
      <c r="P749">
        <f>IFERROR(VLOOKUP(C749, Customers!A:C, 3, FALSE), 0)</f>
        <v>41</v>
      </c>
      <c r="Q749">
        <f t="shared" si="11"/>
        <v>0.50151515151515147</v>
      </c>
    </row>
    <row r="750" spans="1:17" x14ac:dyDescent="0.3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  <c r="L750" t="str">
        <f>VLOOKUP(D750, Products!A:C, 3, FALSE)</f>
        <v>Grocery</v>
      </c>
      <c r="M750" t="str">
        <f>IFERROR(VLOOKUP(C750, Customers!A:E, 5, FALSE), "Unknown")</f>
        <v>Retail</v>
      </c>
      <c r="N750" t="str">
        <f>VLOOKUP(E750, Sales_Reps!A:C, 3, FALSE)</f>
        <v>North</v>
      </c>
      <c r="O750">
        <f>VLOOKUP(D750, Products!A:D, 4, FALSE)</f>
        <v>2027</v>
      </c>
      <c r="P750">
        <f>IFERROR(VLOOKUP(C750, Customers!A:C, 3, FALSE), 0)</f>
        <v>44</v>
      </c>
      <c r="Q750">
        <f t="shared" si="11"/>
        <v>0.50196560196560192</v>
      </c>
    </row>
    <row r="751" spans="1:17" x14ac:dyDescent="0.3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  <c r="L751" t="str">
        <f>VLOOKUP(D751, Products!A:C, 3, FALSE)</f>
        <v>Apparel</v>
      </c>
      <c r="M751" t="str">
        <f>IFERROR(VLOOKUP(C751, Customers!A:E, 5, FALSE), "Unknown")</f>
        <v>SMB</v>
      </c>
      <c r="N751" t="str">
        <f>VLOOKUP(E751, Sales_Reps!A:C, 3, FALSE)</f>
        <v>North</v>
      </c>
      <c r="O751">
        <f>VLOOKUP(D751, Products!A:D, 4, FALSE)</f>
        <v>1075</v>
      </c>
      <c r="P751">
        <f>IFERROR(VLOOKUP(C751, Customers!A:C, 3, FALSE), 0)</f>
        <v>22</v>
      </c>
      <c r="Q751">
        <f t="shared" si="11"/>
        <v>0.57171314741035861</v>
      </c>
    </row>
    <row r="752" spans="1:17" x14ac:dyDescent="0.3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  <c r="L752" t="str">
        <f>VLOOKUP(D752, Products!A:C, 3, FALSE)</f>
        <v>Home</v>
      </c>
      <c r="M752" t="str">
        <f>IFERROR(VLOOKUP(C752, Customers!A:E, 5, FALSE), "Unknown")</f>
        <v>SMB</v>
      </c>
      <c r="N752" t="str">
        <f>VLOOKUP(E752, Sales_Reps!A:C, 3, FALSE)</f>
        <v>West</v>
      </c>
      <c r="O752">
        <f>VLOOKUP(D752, Products!A:D, 4, FALSE)</f>
        <v>1556</v>
      </c>
      <c r="P752">
        <f>IFERROR(VLOOKUP(C752, Customers!A:C, 3, FALSE), 0)</f>
        <v>29</v>
      </c>
      <c r="Q752">
        <f t="shared" si="11"/>
        <v>0.52123076923076928</v>
      </c>
    </row>
    <row r="753" spans="1:17" x14ac:dyDescent="0.3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  <c r="L753" t="str">
        <f>VLOOKUP(D753, Products!A:C, 3, FALSE)</f>
        <v>Home</v>
      </c>
      <c r="M753" t="str">
        <f>IFERROR(VLOOKUP(C753, Customers!A:E, 5, FALSE), "Unknown")</f>
        <v>Corporate</v>
      </c>
      <c r="N753" t="str">
        <f>VLOOKUP(E753, Sales_Reps!A:C, 3, FALSE)</f>
        <v>North</v>
      </c>
      <c r="O753">
        <f>VLOOKUP(D753, Products!A:D, 4, FALSE)</f>
        <v>288</v>
      </c>
      <c r="P753">
        <f>IFERROR(VLOOKUP(C753, Customers!A:C, 3, FALSE), 0)</f>
        <v>26</v>
      </c>
      <c r="Q753">
        <f t="shared" si="11"/>
        <v>0.22162162162162163</v>
      </c>
    </row>
    <row r="754" spans="1:17" x14ac:dyDescent="0.3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  <c r="L754" t="str">
        <f>VLOOKUP(D754, Products!A:C, 3, FALSE)</f>
        <v>Apparel</v>
      </c>
      <c r="M754" t="str">
        <f>IFERROR(VLOOKUP(C754, Customers!A:E, 5, FALSE), "Unknown")</f>
        <v>Corporate</v>
      </c>
      <c r="N754" t="str">
        <f>VLOOKUP(E754, Sales_Reps!A:C, 3, FALSE)</f>
        <v>North</v>
      </c>
      <c r="O754">
        <f>VLOOKUP(D754, Products!A:D, 4, FALSE)</f>
        <v>391</v>
      </c>
      <c r="P754">
        <f>IFERROR(VLOOKUP(C754, Customers!A:C, 3, FALSE), 0)</f>
        <v>29</v>
      </c>
      <c r="Q754">
        <f t="shared" si="11"/>
        <v>0.52317073170731709</v>
      </c>
    </row>
    <row r="755" spans="1:17" x14ac:dyDescent="0.3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  <c r="L755" t="str">
        <f>VLOOKUP(D755, Products!A:C, 3, FALSE)</f>
        <v>Grocery</v>
      </c>
      <c r="M755" t="str">
        <f>IFERROR(VLOOKUP(C755, Customers!A:E, 5, FALSE), "Unknown")</f>
        <v>Retail</v>
      </c>
      <c r="N755" t="str">
        <f>VLOOKUP(E755, Sales_Reps!A:C, 3, FALSE)</f>
        <v>West</v>
      </c>
      <c r="O755">
        <f>VLOOKUP(D755, Products!A:D, 4, FALSE)</f>
        <v>2027</v>
      </c>
      <c r="P755">
        <f>IFERROR(VLOOKUP(C755, Customers!A:C, 3, FALSE), 0)</f>
        <v>55</v>
      </c>
      <c r="Q755">
        <f t="shared" si="11"/>
        <v>0.50196560196560192</v>
      </c>
    </row>
    <row r="756" spans="1:17" x14ac:dyDescent="0.3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  <c r="L756" t="str">
        <f>VLOOKUP(D756, Products!A:C, 3, FALSE)</f>
        <v>Grocery</v>
      </c>
      <c r="M756" t="str">
        <f>IFERROR(VLOOKUP(C756, Customers!A:E, 5, FALSE), "Unknown")</f>
        <v>Retail</v>
      </c>
      <c r="N756" t="str">
        <f>VLOOKUP(E756, Sales_Reps!A:C, 3, FALSE)</f>
        <v>South</v>
      </c>
      <c r="O756">
        <f>VLOOKUP(D756, Products!A:D, 4, FALSE)</f>
        <v>1182</v>
      </c>
      <c r="P756">
        <f>IFERROR(VLOOKUP(C756, Customers!A:C, 3, FALSE), 0)</f>
        <v>29</v>
      </c>
      <c r="Q756">
        <f t="shared" si="11"/>
        <v>0.50336134453781511</v>
      </c>
    </row>
    <row r="757" spans="1:17" x14ac:dyDescent="0.3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  <c r="L757" t="str">
        <f>VLOOKUP(D757, Products!A:C, 3, FALSE)</f>
        <v>Home</v>
      </c>
      <c r="M757" t="str">
        <f>IFERROR(VLOOKUP(C757, Customers!A:E, 5, FALSE), "Unknown")</f>
        <v>Retail</v>
      </c>
      <c r="N757" t="str">
        <f>VLOOKUP(E757, Sales_Reps!A:C, 3, FALSE)</f>
        <v>West</v>
      </c>
      <c r="O757">
        <f>VLOOKUP(D757, Products!A:D, 4, FALSE)</f>
        <v>2549</v>
      </c>
      <c r="P757">
        <f>IFERROR(VLOOKUP(C757, Customers!A:C, 3, FALSE), 0)</f>
        <v>65</v>
      </c>
      <c r="Q757">
        <f t="shared" si="11"/>
        <v>0.53570127504553733</v>
      </c>
    </row>
    <row r="758" spans="1:17" x14ac:dyDescent="0.3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  <c r="L758" t="str">
        <f>VLOOKUP(D758, Products!A:C, 3, FALSE)</f>
        <v>Apparel</v>
      </c>
      <c r="M758" t="str">
        <f>IFERROR(VLOOKUP(C758, Customers!A:E, 5, FALSE), "Unknown")</f>
        <v>Retail</v>
      </c>
      <c r="N758" t="str">
        <f>VLOOKUP(E758, Sales_Reps!A:C, 3, FALSE)</f>
        <v>West</v>
      </c>
      <c r="O758">
        <f>VLOOKUP(D758, Products!A:D, 4, FALSE)</f>
        <v>2611</v>
      </c>
      <c r="P758">
        <f>IFERROR(VLOOKUP(C758, Customers!A:C, 3, FALSE), 0)</f>
        <v>49</v>
      </c>
      <c r="Q758">
        <f t="shared" si="11"/>
        <v>0.28269230769230769</v>
      </c>
    </row>
    <row r="759" spans="1:17" x14ac:dyDescent="0.3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  <c r="L759" t="str">
        <f>VLOOKUP(D759, Products!A:C, 3, FALSE)</f>
        <v>Home</v>
      </c>
      <c r="M759" t="str">
        <f>IFERROR(VLOOKUP(C759, Customers!A:E, 5, FALSE), "Unknown")</f>
        <v>Corporate</v>
      </c>
      <c r="N759" t="str">
        <f>VLOOKUP(E759, Sales_Reps!A:C, 3, FALSE)</f>
        <v>East</v>
      </c>
      <c r="O759">
        <f>VLOOKUP(D759, Products!A:D, 4, FALSE)</f>
        <v>1850</v>
      </c>
      <c r="P759">
        <f>IFERROR(VLOOKUP(C759, Customers!A:C, 3, FALSE), 0)</f>
        <v>24</v>
      </c>
      <c r="Q759">
        <f t="shared" si="11"/>
        <v>0.59869848156182215</v>
      </c>
    </row>
    <row r="760" spans="1:17" x14ac:dyDescent="0.3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  <c r="L760" t="str">
        <f>VLOOKUP(D760, Products!A:C, 3, FALSE)</f>
        <v>Sports</v>
      </c>
      <c r="M760" t="str">
        <f>IFERROR(VLOOKUP(C760, Customers!A:E, 5, FALSE), "Unknown")</f>
        <v>Retail</v>
      </c>
      <c r="N760" t="str">
        <f>VLOOKUP(E760, Sales_Reps!A:C, 3, FALSE)</f>
        <v>North</v>
      </c>
      <c r="O760">
        <f>VLOOKUP(D760, Products!A:D, 4, FALSE)</f>
        <v>974</v>
      </c>
      <c r="P760">
        <f>IFERROR(VLOOKUP(C760, Customers!A:C, 3, FALSE), 0)</f>
        <v>59</v>
      </c>
      <c r="Q760">
        <f t="shared" si="11"/>
        <v>0.59416666666666662</v>
      </c>
    </row>
    <row r="761" spans="1:17" x14ac:dyDescent="0.3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  <c r="L761" t="str">
        <f>VLOOKUP(D761, Products!A:C, 3, FALSE)</f>
        <v>Beauty</v>
      </c>
      <c r="M761" t="str">
        <f>IFERROR(VLOOKUP(C761, Customers!A:E, 5, FALSE), "Unknown")</f>
        <v>Retail</v>
      </c>
      <c r="N761" t="str">
        <f>VLOOKUP(E761, Sales_Reps!A:C, 3, FALSE)</f>
        <v>North</v>
      </c>
      <c r="O761">
        <f>VLOOKUP(D761, Products!A:D, 4, FALSE)</f>
        <v>1728</v>
      </c>
      <c r="P761">
        <f>IFERROR(VLOOKUP(C761, Customers!A:C, 3, FALSE), 0)</f>
        <v>30</v>
      </c>
      <c r="Q761">
        <f t="shared" si="11"/>
        <v>0.48417910447761192</v>
      </c>
    </row>
    <row r="762" spans="1:17" x14ac:dyDescent="0.3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  <c r="L762" t="str">
        <f>VLOOKUP(D762, Products!A:C, 3, FALSE)</f>
        <v>Apparel</v>
      </c>
      <c r="M762" t="str">
        <f>IFERROR(VLOOKUP(C762, Customers!A:E, 5, FALSE), "Unknown")</f>
        <v>Retail</v>
      </c>
      <c r="N762" t="str">
        <f>VLOOKUP(E762, Sales_Reps!A:C, 3, FALSE)</f>
        <v>South</v>
      </c>
      <c r="O762">
        <f>VLOOKUP(D762, Products!A:D, 4, FALSE)</f>
        <v>2611</v>
      </c>
      <c r="P762">
        <f>IFERROR(VLOOKUP(C762, Customers!A:C, 3, FALSE), 0)</f>
        <v>27</v>
      </c>
      <c r="Q762">
        <f t="shared" si="11"/>
        <v>0.28269230769230769</v>
      </c>
    </row>
    <row r="763" spans="1:17" x14ac:dyDescent="0.3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  <c r="L763" t="str">
        <f>VLOOKUP(D763, Products!A:C, 3, FALSE)</f>
        <v>Apparel</v>
      </c>
      <c r="M763" t="str">
        <f>IFERROR(VLOOKUP(C763, Customers!A:E, 5, FALSE), "Unknown")</f>
        <v>Retail</v>
      </c>
      <c r="N763" t="str">
        <f>VLOOKUP(E763, Sales_Reps!A:C, 3, FALSE)</f>
        <v>West</v>
      </c>
      <c r="O763">
        <f>VLOOKUP(D763, Products!A:D, 4, FALSE)</f>
        <v>2611</v>
      </c>
      <c r="P763">
        <f>IFERROR(VLOOKUP(C763, Customers!A:C, 3, FALSE), 0)</f>
        <v>42</v>
      </c>
      <c r="Q763">
        <f t="shared" si="11"/>
        <v>0.28269230769230769</v>
      </c>
    </row>
    <row r="764" spans="1:17" x14ac:dyDescent="0.3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  <c r="L764" t="str">
        <f>VLOOKUP(D764, Products!A:C, 3, FALSE)</f>
        <v>Home</v>
      </c>
      <c r="M764" t="str">
        <f>IFERROR(VLOOKUP(C764, Customers!A:E, 5, FALSE), "Unknown")</f>
        <v>Retail</v>
      </c>
      <c r="N764" t="str">
        <f>VLOOKUP(E764, Sales_Reps!A:C, 3, FALSE)</f>
        <v>South</v>
      </c>
      <c r="O764">
        <f>VLOOKUP(D764, Products!A:D, 4, FALSE)</f>
        <v>1143</v>
      </c>
      <c r="P764">
        <f>IFERROR(VLOOKUP(C764, Customers!A:C, 3, FALSE), 0)</f>
        <v>50</v>
      </c>
      <c r="Q764">
        <f t="shared" si="11"/>
        <v>0.43694581280788175</v>
      </c>
    </row>
    <row r="765" spans="1:17" x14ac:dyDescent="0.3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  <c r="L765" t="str">
        <f>VLOOKUP(D765, Products!A:C, 3, FALSE)</f>
        <v>Apparel</v>
      </c>
      <c r="M765" t="str">
        <f>IFERROR(VLOOKUP(C765, Customers!A:E, 5, FALSE), "Unknown")</f>
        <v>Retail</v>
      </c>
      <c r="N765" t="str">
        <f>VLOOKUP(E765, Sales_Reps!A:C, 3, FALSE)</f>
        <v>North</v>
      </c>
      <c r="O765">
        <f>VLOOKUP(D765, Products!A:D, 4, FALSE)</f>
        <v>1886</v>
      </c>
      <c r="P765">
        <f>IFERROR(VLOOKUP(C765, Customers!A:C, 3, FALSE), 0)</f>
        <v>29</v>
      </c>
      <c r="Q765">
        <f t="shared" si="11"/>
        <v>0.4031645569620253</v>
      </c>
    </row>
    <row r="766" spans="1:17" x14ac:dyDescent="0.3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  <c r="L766" t="str">
        <f>VLOOKUP(D766, Products!A:C, 3, FALSE)</f>
        <v>Grocery</v>
      </c>
      <c r="M766" t="str">
        <f>IFERROR(VLOOKUP(C766, Customers!A:E, 5, FALSE), "Unknown")</f>
        <v>SMB</v>
      </c>
      <c r="N766" t="str">
        <f>VLOOKUP(E766, Sales_Reps!A:C, 3, FALSE)</f>
        <v>West</v>
      </c>
      <c r="O766">
        <f>VLOOKUP(D766, Products!A:D, 4, FALSE)</f>
        <v>2027</v>
      </c>
      <c r="P766">
        <f>IFERROR(VLOOKUP(C766, Customers!A:C, 3, FALSE), 0)</f>
        <v>26</v>
      </c>
      <c r="Q766">
        <f t="shared" si="11"/>
        <v>0.50196560196560192</v>
      </c>
    </row>
    <row r="767" spans="1:17" x14ac:dyDescent="0.3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  <c r="L767" t="str">
        <f>VLOOKUP(D767, Products!A:C, 3, FALSE)</f>
        <v>Grocery</v>
      </c>
      <c r="M767" t="str">
        <f>IFERROR(VLOOKUP(C767, Customers!A:E, 5, FALSE), "Unknown")</f>
        <v>Retail</v>
      </c>
      <c r="N767" t="str">
        <f>VLOOKUP(E767, Sales_Reps!A:C, 3, FALSE)</f>
        <v>West</v>
      </c>
      <c r="O767">
        <f>VLOOKUP(D767, Products!A:D, 4, FALSE)</f>
        <v>2911</v>
      </c>
      <c r="P767">
        <f>IFERROR(VLOOKUP(C767, Customers!A:C, 3, FALSE), 0)</f>
        <v>40</v>
      </c>
      <c r="Q767">
        <f t="shared" si="11"/>
        <v>0.28300492610837441</v>
      </c>
    </row>
    <row r="768" spans="1:17" x14ac:dyDescent="0.3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  <c r="L768" t="str">
        <f>VLOOKUP(D768, Products!A:C, 3, FALSE)</f>
        <v>Sports</v>
      </c>
      <c r="M768" t="str">
        <f>IFERROR(VLOOKUP(C768, Customers!A:E, 5, FALSE), "Unknown")</f>
        <v>Retail</v>
      </c>
      <c r="N768" t="str">
        <f>VLOOKUP(E768, Sales_Reps!A:C, 3, FALSE)</f>
        <v>East</v>
      </c>
      <c r="O768">
        <f>VLOOKUP(D768, Products!A:D, 4, FALSE)</f>
        <v>705</v>
      </c>
      <c r="P768">
        <f>IFERROR(VLOOKUP(C768, Customers!A:C, 3, FALSE), 0)</f>
        <v>56</v>
      </c>
      <c r="Q768">
        <f t="shared" si="11"/>
        <v>0.265625</v>
      </c>
    </row>
    <row r="769" spans="1:17" x14ac:dyDescent="0.3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  <c r="L769" t="str">
        <f>VLOOKUP(D769, Products!A:C, 3, FALSE)</f>
        <v>Grocery</v>
      </c>
      <c r="M769" t="str">
        <f>IFERROR(VLOOKUP(C769, Customers!A:E, 5, FALSE), "Unknown")</f>
        <v>SMB</v>
      </c>
      <c r="N769" t="str">
        <f>VLOOKUP(E769, Sales_Reps!A:C, 3, FALSE)</f>
        <v>West</v>
      </c>
      <c r="O769">
        <f>VLOOKUP(D769, Products!A:D, 4, FALSE)</f>
        <v>1412</v>
      </c>
      <c r="P769">
        <f>IFERROR(VLOOKUP(C769, Customers!A:C, 3, FALSE), 0)</f>
        <v>35</v>
      </c>
      <c r="Q769">
        <f t="shared" si="11"/>
        <v>0.37797356828193834</v>
      </c>
    </row>
    <row r="770" spans="1:17" x14ac:dyDescent="0.3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  <c r="L770" t="str">
        <f>VLOOKUP(D770, Products!A:C, 3, FALSE)</f>
        <v>Grocery</v>
      </c>
      <c r="M770" t="str">
        <f>IFERROR(VLOOKUP(C770, Customers!A:E, 5, FALSE), "Unknown")</f>
        <v>Retail</v>
      </c>
      <c r="N770" t="str">
        <f>VLOOKUP(E770, Sales_Reps!A:C, 3, FALSE)</f>
        <v>North</v>
      </c>
      <c r="O770">
        <f>VLOOKUP(D770, Products!A:D, 4, FALSE)</f>
        <v>2436</v>
      </c>
      <c r="P770">
        <f>IFERROR(VLOOKUP(C770, Customers!A:C, 3, FALSE), 0)</f>
        <v>29</v>
      </c>
      <c r="Q770">
        <f t="shared" si="11"/>
        <v>0.35555555555555557</v>
      </c>
    </row>
    <row r="771" spans="1:17" x14ac:dyDescent="0.3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  <c r="L771" t="str">
        <f>VLOOKUP(D771, Products!A:C, 3, FALSE)</f>
        <v>Beauty</v>
      </c>
      <c r="M771" t="str">
        <f>IFERROR(VLOOKUP(C771, Customers!A:E, 5, FALSE), "Unknown")</f>
        <v>Retail</v>
      </c>
      <c r="N771" t="str">
        <f>VLOOKUP(E771, Sales_Reps!A:C, 3, FALSE)</f>
        <v>West</v>
      </c>
      <c r="O771">
        <f>VLOOKUP(D771, Products!A:D, 4, FALSE)</f>
        <v>1219</v>
      </c>
      <c r="P771">
        <f>IFERROR(VLOOKUP(C771, Customers!A:C, 3, FALSE), 0)</f>
        <v>57</v>
      </c>
      <c r="Q771">
        <f t="shared" ref="Q771:Q834" si="12">(G771 - O771) / G771</f>
        <v>0.46768558951965067</v>
      </c>
    </row>
    <row r="772" spans="1:17" x14ac:dyDescent="0.3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  <c r="L772" t="str">
        <f>VLOOKUP(D772, Products!A:C, 3, FALSE)</f>
        <v>Beauty</v>
      </c>
      <c r="M772" t="str">
        <f>IFERROR(VLOOKUP(C772, Customers!A:E, 5, FALSE), "Unknown")</f>
        <v>Retail</v>
      </c>
      <c r="N772" t="str">
        <f>VLOOKUP(E772, Sales_Reps!A:C, 3, FALSE)</f>
        <v>East</v>
      </c>
      <c r="O772">
        <f>VLOOKUP(D772, Products!A:D, 4, FALSE)</f>
        <v>1728</v>
      </c>
      <c r="P772">
        <f>IFERROR(VLOOKUP(C772, Customers!A:C, 3, FALSE), 0)</f>
        <v>42</v>
      </c>
      <c r="Q772">
        <f t="shared" si="12"/>
        <v>0.48417910447761192</v>
      </c>
    </row>
    <row r="773" spans="1:17" x14ac:dyDescent="0.3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  <c r="L773" t="str">
        <f>VLOOKUP(D773, Products!A:C, 3, FALSE)</f>
        <v>Apparel</v>
      </c>
      <c r="M773" t="str">
        <f>IFERROR(VLOOKUP(C773, Customers!A:E, 5, FALSE), "Unknown")</f>
        <v>SMB</v>
      </c>
      <c r="N773" t="str">
        <f>VLOOKUP(E773, Sales_Reps!A:C, 3, FALSE)</f>
        <v>East</v>
      </c>
      <c r="O773">
        <f>VLOOKUP(D773, Products!A:D, 4, FALSE)</f>
        <v>1075</v>
      </c>
      <c r="P773">
        <f>IFERROR(VLOOKUP(C773, Customers!A:C, 3, FALSE), 0)</f>
        <v>54</v>
      </c>
      <c r="Q773">
        <f t="shared" si="12"/>
        <v>0.57171314741035861</v>
      </c>
    </row>
    <row r="774" spans="1:17" x14ac:dyDescent="0.3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  <c r="L774" t="str">
        <f>VLOOKUP(D774, Products!A:C, 3, FALSE)</f>
        <v>Electronics</v>
      </c>
      <c r="M774" t="str">
        <f>IFERROR(VLOOKUP(C774, Customers!A:E, 5, FALSE), "Unknown")</f>
        <v>Retail</v>
      </c>
      <c r="N774" t="str">
        <f>VLOOKUP(E774, Sales_Reps!A:C, 3, FALSE)</f>
        <v>East</v>
      </c>
      <c r="O774">
        <f>VLOOKUP(D774, Products!A:D, 4, FALSE)</f>
        <v>1052</v>
      </c>
      <c r="P774">
        <f>IFERROR(VLOOKUP(C774, Customers!A:C, 3, FALSE), 0)</f>
        <v>49</v>
      </c>
      <c r="Q774">
        <f t="shared" si="12"/>
        <v>0.5953846153846154</v>
      </c>
    </row>
    <row r="775" spans="1:17" x14ac:dyDescent="0.3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  <c r="L775" t="str">
        <f>VLOOKUP(D775, Products!A:C, 3, FALSE)</f>
        <v>Sports</v>
      </c>
      <c r="M775" t="str">
        <f>IFERROR(VLOOKUP(C775, Customers!A:E, 5, FALSE), "Unknown")</f>
        <v>Retail</v>
      </c>
      <c r="N775" t="str">
        <f>VLOOKUP(E775, Sales_Reps!A:C, 3, FALSE)</f>
        <v>North</v>
      </c>
      <c r="O775">
        <f>VLOOKUP(D775, Products!A:D, 4, FALSE)</f>
        <v>302</v>
      </c>
      <c r="P775">
        <f>IFERROR(VLOOKUP(C775, Customers!A:C, 3, FALSE), 0)</f>
        <v>55</v>
      </c>
      <c r="Q775">
        <f t="shared" si="12"/>
        <v>0.35744680851063831</v>
      </c>
    </row>
    <row r="776" spans="1:17" x14ac:dyDescent="0.3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  <c r="L776" t="str">
        <f>VLOOKUP(D776, Products!A:C, 3, FALSE)</f>
        <v>Home</v>
      </c>
      <c r="M776" t="str">
        <f>IFERROR(VLOOKUP(C776, Customers!A:E, 5, FALSE), "Unknown")</f>
        <v>Corporate</v>
      </c>
      <c r="N776" t="str">
        <f>VLOOKUP(E776, Sales_Reps!A:C, 3, FALSE)</f>
        <v>South</v>
      </c>
      <c r="O776">
        <f>VLOOKUP(D776, Products!A:D, 4, FALSE)</f>
        <v>519</v>
      </c>
      <c r="P776">
        <f>IFERROR(VLOOKUP(C776, Customers!A:C, 3, FALSE), 0)</f>
        <v>47</v>
      </c>
      <c r="Q776">
        <f t="shared" si="12"/>
        <v>0.51944444444444449</v>
      </c>
    </row>
    <row r="777" spans="1:17" x14ac:dyDescent="0.3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  <c r="L777" t="str">
        <f>VLOOKUP(D777, Products!A:C, 3, FALSE)</f>
        <v>Sports</v>
      </c>
      <c r="M777" t="str">
        <f>IFERROR(VLOOKUP(C777, Customers!A:E, 5, FALSE), "Unknown")</f>
        <v>SMB</v>
      </c>
      <c r="N777" t="str">
        <f>VLOOKUP(E777, Sales_Reps!A:C, 3, FALSE)</f>
        <v>East</v>
      </c>
      <c r="O777">
        <f>VLOOKUP(D777, Products!A:D, 4, FALSE)</f>
        <v>516</v>
      </c>
      <c r="P777">
        <f>IFERROR(VLOOKUP(C777, Customers!A:C, 3, FALSE), 0)</f>
        <v>44</v>
      </c>
      <c r="Q777">
        <f t="shared" si="12"/>
        <v>0.4891089108910891</v>
      </c>
    </row>
    <row r="778" spans="1:17" x14ac:dyDescent="0.3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  <c r="L778" t="str">
        <f>VLOOKUP(D778, Products!A:C, 3, FALSE)</f>
        <v>Electronics</v>
      </c>
      <c r="M778" t="str">
        <f>IFERROR(VLOOKUP(C778, Customers!A:E, 5, FALSE), "Unknown")</f>
        <v>SMB</v>
      </c>
      <c r="N778" t="str">
        <f>VLOOKUP(E778, Sales_Reps!A:C, 3, FALSE)</f>
        <v>North</v>
      </c>
      <c r="O778">
        <f>VLOOKUP(D778, Products!A:D, 4, FALSE)</f>
        <v>1559</v>
      </c>
      <c r="P778">
        <f>IFERROR(VLOOKUP(C778, Customers!A:C, 3, FALSE), 0)</f>
        <v>26</v>
      </c>
      <c r="Q778">
        <f t="shared" si="12"/>
        <v>0.59715762273901807</v>
      </c>
    </row>
    <row r="779" spans="1:17" x14ac:dyDescent="0.3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  <c r="L779" t="str">
        <f>VLOOKUP(D779, Products!A:C, 3, FALSE)</f>
        <v>Home</v>
      </c>
      <c r="M779" t="str">
        <f>IFERROR(VLOOKUP(C779, Customers!A:E, 5, FALSE), "Unknown")</f>
        <v>Retail</v>
      </c>
      <c r="N779" t="str">
        <f>VLOOKUP(E779, Sales_Reps!A:C, 3, FALSE)</f>
        <v>West</v>
      </c>
      <c r="O779">
        <f>VLOOKUP(D779, Products!A:D, 4, FALSE)</f>
        <v>1143</v>
      </c>
      <c r="P779">
        <f>IFERROR(VLOOKUP(C779, Customers!A:C, 3, FALSE), 0)</f>
        <v>44</v>
      </c>
      <c r="Q779">
        <f t="shared" si="12"/>
        <v>0.43694581280788175</v>
      </c>
    </row>
    <row r="780" spans="1:17" x14ac:dyDescent="0.3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  <c r="L780" t="str">
        <f>VLOOKUP(D780, Products!A:C, 3, FALSE)</f>
        <v>Home</v>
      </c>
      <c r="M780" t="str">
        <f>IFERROR(VLOOKUP(C780, Customers!A:E, 5, FALSE), "Unknown")</f>
        <v>Retail</v>
      </c>
      <c r="N780" t="str">
        <f>VLOOKUP(E780, Sales_Reps!A:C, 3, FALSE)</f>
        <v>West</v>
      </c>
      <c r="O780">
        <f>VLOOKUP(D780, Products!A:D, 4, FALSE)</f>
        <v>519</v>
      </c>
      <c r="P780">
        <f>IFERROR(VLOOKUP(C780, Customers!A:C, 3, FALSE), 0)</f>
        <v>44</v>
      </c>
      <c r="Q780">
        <f t="shared" si="12"/>
        <v>0.51944444444444449</v>
      </c>
    </row>
    <row r="781" spans="1:17" x14ac:dyDescent="0.3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  <c r="L781" t="str">
        <f>VLOOKUP(D781, Products!A:C, 3, FALSE)</f>
        <v>Home</v>
      </c>
      <c r="M781" t="str">
        <f>IFERROR(VLOOKUP(C781, Customers!A:E, 5, FALSE), "Unknown")</f>
        <v>Corporate</v>
      </c>
      <c r="N781" t="str">
        <f>VLOOKUP(E781, Sales_Reps!A:C, 3, FALSE)</f>
        <v>South</v>
      </c>
      <c r="O781">
        <f>VLOOKUP(D781, Products!A:D, 4, FALSE)</f>
        <v>464</v>
      </c>
      <c r="P781">
        <f>IFERROR(VLOOKUP(C781, Customers!A:C, 3, FALSE), 0)</f>
        <v>51</v>
      </c>
      <c r="Q781">
        <f t="shared" si="12"/>
        <v>0.57431192660550456</v>
      </c>
    </row>
    <row r="782" spans="1:17" x14ac:dyDescent="0.3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  <c r="L782" t="str">
        <f>VLOOKUP(D782, Products!A:C, 3, FALSE)</f>
        <v>Home</v>
      </c>
      <c r="M782" t="str">
        <f>IFERROR(VLOOKUP(C782, Customers!A:E, 5, FALSE), "Unknown")</f>
        <v>Retail</v>
      </c>
      <c r="N782" t="str">
        <f>VLOOKUP(E782, Sales_Reps!A:C, 3, FALSE)</f>
        <v>South</v>
      </c>
      <c r="O782">
        <f>VLOOKUP(D782, Products!A:D, 4, FALSE)</f>
        <v>288</v>
      </c>
      <c r="P782">
        <f>IFERROR(VLOOKUP(C782, Customers!A:C, 3, FALSE), 0)</f>
        <v>28</v>
      </c>
      <c r="Q782">
        <f t="shared" si="12"/>
        <v>0.22162162162162163</v>
      </c>
    </row>
    <row r="783" spans="1:17" x14ac:dyDescent="0.3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  <c r="L783" t="str">
        <f>VLOOKUP(D783, Products!A:C, 3, FALSE)</f>
        <v>Apparel</v>
      </c>
      <c r="M783" t="str">
        <f>IFERROR(VLOOKUP(C783, Customers!A:E, 5, FALSE), "Unknown")</f>
        <v>Retail</v>
      </c>
      <c r="N783" t="str">
        <f>VLOOKUP(E783, Sales_Reps!A:C, 3, FALSE)</f>
        <v>East</v>
      </c>
      <c r="O783">
        <f>VLOOKUP(D783, Products!A:D, 4, FALSE)</f>
        <v>2629</v>
      </c>
      <c r="P783">
        <f>IFERROR(VLOOKUP(C783, Customers!A:C, 3, FALSE), 0)</f>
        <v>54</v>
      </c>
      <c r="Q783">
        <f t="shared" si="12"/>
        <v>0.26151685393258428</v>
      </c>
    </row>
    <row r="784" spans="1:17" x14ac:dyDescent="0.3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  <c r="L784" t="str">
        <f>VLOOKUP(D784, Products!A:C, 3, FALSE)</f>
        <v>Beauty</v>
      </c>
      <c r="M784" t="str">
        <f>IFERROR(VLOOKUP(C784, Customers!A:E, 5, FALSE), "Unknown")</f>
        <v>Retail</v>
      </c>
      <c r="N784" t="str">
        <f>VLOOKUP(E784, Sales_Reps!A:C, 3, FALSE)</f>
        <v>South</v>
      </c>
      <c r="O784">
        <f>VLOOKUP(D784, Products!A:D, 4, FALSE)</f>
        <v>2617</v>
      </c>
      <c r="P784">
        <f>IFERROR(VLOOKUP(C784, Customers!A:C, 3, FALSE), 0)</f>
        <v>62</v>
      </c>
      <c r="Q784">
        <f t="shared" si="12"/>
        <v>0.56957236842105263</v>
      </c>
    </row>
    <row r="785" spans="1:17" x14ac:dyDescent="0.3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  <c r="L785" t="str">
        <f>VLOOKUP(D785, Products!A:C, 3, FALSE)</f>
        <v>Sports</v>
      </c>
      <c r="M785" t="str">
        <f>IFERROR(VLOOKUP(C785, Customers!A:E, 5, FALSE), "Unknown")</f>
        <v>Corporate</v>
      </c>
      <c r="N785" t="str">
        <f>VLOOKUP(E785, Sales_Reps!A:C, 3, FALSE)</f>
        <v>South</v>
      </c>
      <c r="O785">
        <f>VLOOKUP(D785, Products!A:D, 4, FALSE)</f>
        <v>2467</v>
      </c>
      <c r="P785">
        <f>IFERROR(VLOOKUP(C785, Customers!A:C, 3, FALSE), 0)</f>
        <v>32</v>
      </c>
      <c r="Q785">
        <f t="shared" si="12"/>
        <v>0.28492753623188405</v>
      </c>
    </row>
    <row r="786" spans="1:17" x14ac:dyDescent="0.3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  <c r="L786" t="str">
        <f>VLOOKUP(D786, Products!A:C, 3, FALSE)</f>
        <v>Home</v>
      </c>
      <c r="M786" t="str">
        <f>IFERROR(VLOOKUP(C786, Customers!A:E, 5, FALSE), "Unknown")</f>
        <v>Retail</v>
      </c>
      <c r="N786" t="str">
        <f>VLOOKUP(E786, Sales_Reps!A:C, 3, FALSE)</f>
        <v>South</v>
      </c>
      <c r="O786">
        <f>VLOOKUP(D786, Products!A:D, 4, FALSE)</f>
        <v>2459</v>
      </c>
      <c r="P786">
        <f>IFERROR(VLOOKUP(C786, Customers!A:C, 3, FALSE), 0)</f>
        <v>51</v>
      </c>
      <c r="Q786">
        <f t="shared" si="12"/>
        <v>0.51594488188976373</v>
      </c>
    </row>
    <row r="787" spans="1:17" x14ac:dyDescent="0.3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  <c r="L787" t="str">
        <f>VLOOKUP(D787, Products!A:C, 3, FALSE)</f>
        <v>Apparel</v>
      </c>
      <c r="M787" t="str">
        <f>IFERROR(VLOOKUP(C787, Customers!A:E, 5, FALSE), "Unknown")</f>
        <v>SMB</v>
      </c>
      <c r="N787" t="str">
        <f>VLOOKUP(E787, Sales_Reps!A:C, 3, FALSE)</f>
        <v>East</v>
      </c>
      <c r="O787">
        <f>VLOOKUP(D787, Products!A:D, 4, FALSE)</f>
        <v>1748</v>
      </c>
      <c r="P787">
        <f>IFERROR(VLOOKUP(C787, Customers!A:C, 3, FALSE), 0)</f>
        <v>28</v>
      </c>
      <c r="Q787">
        <f t="shared" si="12"/>
        <v>0.49333333333333335</v>
      </c>
    </row>
    <row r="788" spans="1:17" x14ac:dyDescent="0.3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  <c r="L788" t="str">
        <f>VLOOKUP(D788, Products!A:C, 3, FALSE)</f>
        <v>Grocery</v>
      </c>
      <c r="M788" t="str">
        <f>IFERROR(VLOOKUP(C788, Customers!A:E, 5, FALSE), "Unknown")</f>
        <v>Retail</v>
      </c>
      <c r="N788" t="str">
        <f>VLOOKUP(E788, Sales_Reps!A:C, 3, FALSE)</f>
        <v>South</v>
      </c>
      <c r="O788">
        <f>VLOOKUP(D788, Products!A:D, 4, FALSE)</f>
        <v>1203</v>
      </c>
      <c r="P788">
        <f>IFERROR(VLOOKUP(C788, Customers!A:C, 3, FALSE), 0)</f>
        <v>39</v>
      </c>
      <c r="Q788">
        <f t="shared" si="12"/>
        <v>0.47004405286343615</v>
      </c>
    </row>
    <row r="789" spans="1:17" x14ac:dyDescent="0.3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  <c r="L789" t="str">
        <f>VLOOKUP(D789, Products!A:C, 3, FALSE)</f>
        <v>Apparel</v>
      </c>
      <c r="M789" t="str">
        <f>IFERROR(VLOOKUP(C789, Customers!A:E, 5, FALSE), "Unknown")</f>
        <v>SMB</v>
      </c>
      <c r="N789" t="str">
        <f>VLOOKUP(E789, Sales_Reps!A:C, 3, FALSE)</f>
        <v>East</v>
      </c>
      <c r="O789">
        <f>VLOOKUP(D789, Products!A:D, 4, FALSE)</f>
        <v>1886</v>
      </c>
      <c r="P789">
        <f>IFERROR(VLOOKUP(C789, Customers!A:C, 3, FALSE), 0)</f>
        <v>44</v>
      </c>
      <c r="Q789">
        <f t="shared" si="12"/>
        <v>0.4031645569620253</v>
      </c>
    </row>
    <row r="790" spans="1:17" x14ac:dyDescent="0.3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  <c r="L790" t="str">
        <f>VLOOKUP(D790, Products!A:C, 3, FALSE)</f>
        <v>Beauty</v>
      </c>
      <c r="M790" t="str">
        <f>IFERROR(VLOOKUP(C790, Customers!A:E, 5, FALSE), "Unknown")</f>
        <v>Retail</v>
      </c>
      <c r="N790" t="str">
        <f>VLOOKUP(E790, Sales_Reps!A:C, 3, FALSE)</f>
        <v>West</v>
      </c>
      <c r="O790">
        <f>VLOOKUP(D790, Products!A:D, 4, FALSE)</f>
        <v>1728</v>
      </c>
      <c r="P790">
        <f>IFERROR(VLOOKUP(C790, Customers!A:C, 3, FALSE), 0)</f>
        <v>54</v>
      </c>
      <c r="Q790">
        <f t="shared" si="12"/>
        <v>0.48417910447761192</v>
      </c>
    </row>
    <row r="791" spans="1:17" x14ac:dyDescent="0.3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  <c r="L791" t="str">
        <f>VLOOKUP(D791, Products!A:C, 3, FALSE)</f>
        <v>Beauty</v>
      </c>
      <c r="M791" t="str">
        <f>IFERROR(VLOOKUP(C791, Customers!A:E, 5, FALSE), "Unknown")</f>
        <v>Retail</v>
      </c>
      <c r="N791" t="str">
        <f>VLOOKUP(E791, Sales_Reps!A:C, 3, FALSE)</f>
        <v>West</v>
      </c>
      <c r="O791">
        <f>VLOOKUP(D791, Products!A:D, 4, FALSE)</f>
        <v>1222</v>
      </c>
      <c r="P791">
        <f>IFERROR(VLOOKUP(C791, Customers!A:C, 3, FALSE), 0)</f>
        <v>54</v>
      </c>
      <c r="Q791">
        <f t="shared" si="12"/>
        <v>0.2593939393939394</v>
      </c>
    </row>
    <row r="792" spans="1:17" x14ac:dyDescent="0.3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  <c r="L792" t="str">
        <f>VLOOKUP(D792, Products!A:C, 3, FALSE)</f>
        <v>Home</v>
      </c>
      <c r="M792" t="str">
        <f>IFERROR(VLOOKUP(C792, Customers!A:E, 5, FALSE), "Unknown")</f>
        <v>SMB</v>
      </c>
      <c r="N792" t="str">
        <f>VLOOKUP(E792, Sales_Reps!A:C, 3, FALSE)</f>
        <v>North</v>
      </c>
      <c r="O792">
        <f>VLOOKUP(D792, Products!A:D, 4, FALSE)</f>
        <v>2549</v>
      </c>
      <c r="P792">
        <f>IFERROR(VLOOKUP(C792, Customers!A:C, 3, FALSE), 0)</f>
        <v>26</v>
      </c>
      <c r="Q792">
        <f t="shared" si="12"/>
        <v>0.53570127504553733</v>
      </c>
    </row>
    <row r="793" spans="1:17" x14ac:dyDescent="0.3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  <c r="L793" t="str">
        <f>VLOOKUP(D793, Products!A:C, 3, FALSE)</f>
        <v>Home</v>
      </c>
      <c r="M793" t="str">
        <f>IFERROR(VLOOKUP(C793, Customers!A:E, 5, FALSE), "Unknown")</f>
        <v>Retail</v>
      </c>
      <c r="N793" t="str">
        <f>VLOOKUP(E793, Sales_Reps!A:C, 3, FALSE)</f>
        <v>West</v>
      </c>
      <c r="O793">
        <f>VLOOKUP(D793, Products!A:D, 4, FALSE)</f>
        <v>519</v>
      </c>
      <c r="P793">
        <f>IFERROR(VLOOKUP(C793, Customers!A:C, 3, FALSE), 0)</f>
        <v>63</v>
      </c>
      <c r="Q793">
        <f t="shared" si="12"/>
        <v>0.51944444444444449</v>
      </c>
    </row>
    <row r="794" spans="1:17" x14ac:dyDescent="0.3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  <c r="L794" t="str">
        <f>VLOOKUP(D794, Products!A:C, 3, FALSE)</f>
        <v>Grocery</v>
      </c>
      <c r="M794" t="str">
        <f>IFERROR(VLOOKUP(C794, Customers!A:E, 5, FALSE), "Unknown")</f>
        <v>Unknown</v>
      </c>
      <c r="N794" t="str">
        <f>VLOOKUP(E794, Sales_Reps!A:C, 3, FALSE)</f>
        <v>East</v>
      </c>
      <c r="O794">
        <f>VLOOKUP(D794, Products!A:D, 4, FALSE)</f>
        <v>2436</v>
      </c>
      <c r="P794">
        <f>IFERROR(VLOOKUP(C794, Customers!A:C, 3, FALSE), 0)</f>
        <v>0</v>
      </c>
      <c r="Q794">
        <f t="shared" si="12"/>
        <v>0.35555555555555557</v>
      </c>
    </row>
    <row r="795" spans="1:17" x14ac:dyDescent="0.3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  <c r="L795" t="str">
        <f>VLOOKUP(D795, Products!A:C, 3, FALSE)</f>
        <v>Home</v>
      </c>
      <c r="M795" t="str">
        <f>IFERROR(VLOOKUP(C795, Customers!A:E, 5, FALSE), "Unknown")</f>
        <v>Retail</v>
      </c>
      <c r="N795" t="str">
        <f>VLOOKUP(E795, Sales_Reps!A:C, 3, FALSE)</f>
        <v>West</v>
      </c>
      <c r="O795">
        <f>VLOOKUP(D795, Products!A:D, 4, FALSE)</f>
        <v>1143</v>
      </c>
      <c r="P795">
        <f>IFERROR(VLOOKUP(C795, Customers!A:C, 3, FALSE), 0)</f>
        <v>26</v>
      </c>
      <c r="Q795">
        <f t="shared" si="12"/>
        <v>0.43694581280788175</v>
      </c>
    </row>
    <row r="796" spans="1:17" x14ac:dyDescent="0.3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  <c r="L796" t="str">
        <f>VLOOKUP(D796, Products!A:C, 3, FALSE)</f>
        <v>Beauty</v>
      </c>
      <c r="M796" t="str">
        <f>IFERROR(VLOOKUP(C796, Customers!A:E, 5, FALSE), "Unknown")</f>
        <v>Corporate</v>
      </c>
      <c r="N796" t="str">
        <f>VLOOKUP(E796, Sales_Reps!A:C, 3, FALSE)</f>
        <v>East</v>
      </c>
      <c r="O796">
        <f>VLOOKUP(D796, Products!A:D, 4, FALSE)</f>
        <v>647</v>
      </c>
      <c r="P796">
        <f>IFERROR(VLOOKUP(C796, Customers!A:C, 3, FALSE), 0)</f>
        <v>41</v>
      </c>
      <c r="Q796">
        <f t="shared" si="12"/>
        <v>0.57987012987012987</v>
      </c>
    </row>
    <row r="797" spans="1:17" x14ac:dyDescent="0.3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  <c r="L797" t="str">
        <f>VLOOKUP(D797, Products!A:C, 3, FALSE)</f>
        <v>Home</v>
      </c>
      <c r="M797" t="str">
        <f>IFERROR(VLOOKUP(C797, Customers!A:E, 5, FALSE), "Unknown")</f>
        <v>Retail</v>
      </c>
      <c r="N797" t="str">
        <f>VLOOKUP(E797, Sales_Reps!A:C, 3, FALSE)</f>
        <v>South</v>
      </c>
      <c r="O797">
        <f>VLOOKUP(D797, Products!A:D, 4, FALSE)</f>
        <v>1556</v>
      </c>
      <c r="P797">
        <f>IFERROR(VLOOKUP(C797, Customers!A:C, 3, FALSE), 0)</f>
        <v>56</v>
      </c>
      <c r="Q797">
        <f t="shared" si="12"/>
        <v>0.52123076923076928</v>
      </c>
    </row>
    <row r="798" spans="1:17" x14ac:dyDescent="0.3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  <c r="L798" t="str">
        <f>VLOOKUP(D798, Products!A:C, 3, FALSE)</f>
        <v>Beauty</v>
      </c>
      <c r="M798" t="str">
        <f>IFERROR(VLOOKUP(C798, Customers!A:E, 5, FALSE), "Unknown")</f>
        <v>SMB</v>
      </c>
      <c r="N798" t="str">
        <f>VLOOKUP(E798, Sales_Reps!A:C, 3, FALSE)</f>
        <v>North</v>
      </c>
      <c r="O798">
        <f>VLOOKUP(D798, Products!A:D, 4, FALSE)</f>
        <v>2420</v>
      </c>
      <c r="P798">
        <f>IFERROR(VLOOKUP(C798, Customers!A:C, 3, FALSE), 0)</f>
        <v>53</v>
      </c>
      <c r="Q798">
        <f t="shared" si="12"/>
        <v>0.29855072463768118</v>
      </c>
    </row>
    <row r="799" spans="1:17" x14ac:dyDescent="0.3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  <c r="L799" t="str">
        <f>VLOOKUP(D799, Products!A:C, 3, FALSE)</f>
        <v>Home</v>
      </c>
      <c r="M799" t="str">
        <f>IFERROR(VLOOKUP(C799, Customers!A:E, 5, FALSE), "Unknown")</f>
        <v>Corporate</v>
      </c>
      <c r="N799" t="str">
        <f>VLOOKUP(E799, Sales_Reps!A:C, 3, FALSE)</f>
        <v>North</v>
      </c>
      <c r="O799">
        <f>VLOOKUP(D799, Products!A:D, 4, FALSE)</f>
        <v>2549</v>
      </c>
      <c r="P799">
        <f>IFERROR(VLOOKUP(C799, Customers!A:C, 3, FALSE), 0)</f>
        <v>24</v>
      </c>
      <c r="Q799">
        <f t="shared" si="12"/>
        <v>0.53570127504553733</v>
      </c>
    </row>
    <row r="800" spans="1:17" x14ac:dyDescent="0.3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  <c r="L800" t="str">
        <f>VLOOKUP(D800, Products!A:C, 3, FALSE)</f>
        <v>Home</v>
      </c>
      <c r="M800" t="str">
        <f>IFERROR(VLOOKUP(C800, Customers!A:E, 5, FALSE), "Unknown")</f>
        <v>Retail</v>
      </c>
      <c r="N800" t="str">
        <f>VLOOKUP(E800, Sales_Reps!A:C, 3, FALSE)</f>
        <v>West</v>
      </c>
      <c r="O800">
        <f>VLOOKUP(D800, Products!A:D, 4, FALSE)</f>
        <v>288</v>
      </c>
      <c r="P800">
        <f>IFERROR(VLOOKUP(C800, Customers!A:C, 3, FALSE), 0)</f>
        <v>40</v>
      </c>
      <c r="Q800">
        <f t="shared" si="12"/>
        <v>0.22162162162162163</v>
      </c>
    </row>
    <row r="801" spans="1:17" x14ac:dyDescent="0.3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  <c r="L801" t="str">
        <f>VLOOKUP(D801, Products!A:C, 3, FALSE)</f>
        <v>Electronics</v>
      </c>
      <c r="M801" t="str">
        <f>IFERROR(VLOOKUP(C801, Customers!A:E, 5, FALSE), "Unknown")</f>
        <v>SMB</v>
      </c>
      <c r="N801" t="str">
        <f>VLOOKUP(E801, Sales_Reps!A:C, 3, FALSE)</f>
        <v>South</v>
      </c>
      <c r="O801">
        <f>VLOOKUP(D801, Products!A:D, 4, FALSE)</f>
        <v>2405</v>
      </c>
      <c r="P801">
        <f>IFERROR(VLOOKUP(C801, Customers!A:C, 3, FALSE), 0)</f>
        <v>53</v>
      </c>
      <c r="Q801">
        <f t="shared" si="12"/>
        <v>0.54878048780487809</v>
      </c>
    </row>
    <row r="802" spans="1:17" x14ac:dyDescent="0.3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  <c r="L802" t="str">
        <f>VLOOKUP(D802, Products!A:C, 3, FALSE)</f>
        <v>Sports</v>
      </c>
      <c r="M802" t="str">
        <f>IFERROR(VLOOKUP(C802, Customers!A:E, 5, FALSE), "Unknown")</f>
        <v>Retail</v>
      </c>
      <c r="N802" t="str">
        <f>VLOOKUP(E802, Sales_Reps!A:C, 3, FALSE)</f>
        <v>South</v>
      </c>
      <c r="O802">
        <f>VLOOKUP(D802, Products!A:D, 4, FALSE)</f>
        <v>2467</v>
      </c>
      <c r="P802">
        <f>IFERROR(VLOOKUP(C802, Customers!A:C, 3, FALSE), 0)</f>
        <v>49</v>
      </c>
      <c r="Q802">
        <f t="shared" si="12"/>
        <v>0.28492753623188405</v>
      </c>
    </row>
    <row r="803" spans="1:17" x14ac:dyDescent="0.3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  <c r="L803" t="str">
        <f>VLOOKUP(D803, Products!A:C, 3, FALSE)</f>
        <v>Apparel</v>
      </c>
      <c r="M803" t="str">
        <f>IFERROR(VLOOKUP(C803, Customers!A:E, 5, FALSE), "Unknown")</f>
        <v>Corporate</v>
      </c>
      <c r="N803" t="str">
        <f>VLOOKUP(E803, Sales_Reps!A:C, 3, FALSE)</f>
        <v>West</v>
      </c>
      <c r="O803">
        <f>VLOOKUP(D803, Products!A:D, 4, FALSE)</f>
        <v>1748</v>
      </c>
      <c r="P803">
        <f>IFERROR(VLOOKUP(C803, Customers!A:C, 3, FALSE), 0)</f>
        <v>51</v>
      </c>
      <c r="Q803">
        <f t="shared" si="12"/>
        <v>0.49333333333333335</v>
      </c>
    </row>
    <row r="804" spans="1:17" x14ac:dyDescent="0.3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  <c r="L804" t="str">
        <f>VLOOKUP(D804, Products!A:C, 3, FALSE)</f>
        <v>Beauty</v>
      </c>
      <c r="M804" t="str">
        <f>IFERROR(VLOOKUP(C804, Customers!A:E, 5, FALSE), "Unknown")</f>
        <v>Corporate</v>
      </c>
      <c r="N804" t="str">
        <f>VLOOKUP(E804, Sales_Reps!A:C, 3, FALSE)</f>
        <v>West</v>
      </c>
      <c r="O804">
        <f>VLOOKUP(D804, Products!A:D, 4, FALSE)</f>
        <v>2617</v>
      </c>
      <c r="P804">
        <f>IFERROR(VLOOKUP(C804, Customers!A:C, 3, FALSE), 0)</f>
        <v>62</v>
      </c>
      <c r="Q804">
        <f t="shared" si="12"/>
        <v>0.56957236842105263</v>
      </c>
    </row>
    <row r="805" spans="1:17" x14ac:dyDescent="0.3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  <c r="L805" t="str">
        <f>VLOOKUP(D805, Products!A:C, 3, FALSE)</f>
        <v>Apparel</v>
      </c>
      <c r="M805" t="str">
        <f>IFERROR(VLOOKUP(C805, Customers!A:E, 5, FALSE), "Unknown")</f>
        <v>SMB</v>
      </c>
      <c r="N805" t="str">
        <f>VLOOKUP(E805, Sales_Reps!A:C, 3, FALSE)</f>
        <v>South</v>
      </c>
      <c r="O805">
        <f>VLOOKUP(D805, Products!A:D, 4, FALSE)</f>
        <v>1075</v>
      </c>
      <c r="P805">
        <f>IFERROR(VLOOKUP(C805, Customers!A:C, 3, FALSE), 0)</f>
        <v>50</v>
      </c>
      <c r="Q805">
        <f t="shared" si="12"/>
        <v>0.57171314741035861</v>
      </c>
    </row>
    <row r="806" spans="1:17" x14ac:dyDescent="0.3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  <c r="L806" t="str">
        <f>VLOOKUP(D806, Products!A:C, 3, FALSE)</f>
        <v>Sports</v>
      </c>
      <c r="M806" t="str">
        <f>IFERROR(VLOOKUP(C806, Customers!A:E, 5, FALSE), "Unknown")</f>
        <v>Retail</v>
      </c>
      <c r="N806" t="str">
        <f>VLOOKUP(E806, Sales_Reps!A:C, 3, FALSE)</f>
        <v>South</v>
      </c>
      <c r="O806">
        <f>VLOOKUP(D806, Products!A:D, 4, FALSE)</f>
        <v>516</v>
      </c>
      <c r="P806">
        <f>IFERROR(VLOOKUP(C806, Customers!A:C, 3, FALSE), 0)</f>
        <v>54</v>
      </c>
      <c r="Q806">
        <f t="shared" si="12"/>
        <v>0.4891089108910891</v>
      </c>
    </row>
    <row r="807" spans="1:17" x14ac:dyDescent="0.3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  <c r="L807" t="str">
        <f>VLOOKUP(D807, Products!A:C, 3, FALSE)</f>
        <v>Apparel</v>
      </c>
      <c r="M807" t="str">
        <f>IFERROR(VLOOKUP(C807, Customers!A:E, 5, FALSE), "Unknown")</f>
        <v>Retail</v>
      </c>
      <c r="N807" t="str">
        <f>VLOOKUP(E807, Sales_Reps!A:C, 3, FALSE)</f>
        <v>East</v>
      </c>
      <c r="O807">
        <f>VLOOKUP(D807, Products!A:D, 4, FALSE)</f>
        <v>2629</v>
      </c>
      <c r="P807">
        <f>IFERROR(VLOOKUP(C807, Customers!A:C, 3, FALSE), 0)</f>
        <v>54</v>
      </c>
      <c r="Q807">
        <f t="shared" si="12"/>
        <v>0.26151685393258428</v>
      </c>
    </row>
    <row r="808" spans="1:17" x14ac:dyDescent="0.3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  <c r="L808" t="str">
        <f>VLOOKUP(D808, Products!A:C, 3, FALSE)</f>
        <v>Beauty</v>
      </c>
      <c r="M808" t="str">
        <f>IFERROR(VLOOKUP(C808, Customers!A:E, 5, FALSE), "Unknown")</f>
        <v>Corporate</v>
      </c>
      <c r="N808" t="str">
        <f>VLOOKUP(E808, Sales_Reps!A:C, 3, FALSE)</f>
        <v>North</v>
      </c>
      <c r="O808">
        <f>VLOOKUP(D808, Products!A:D, 4, FALSE)</f>
        <v>1626</v>
      </c>
      <c r="P808">
        <f>IFERROR(VLOOKUP(C808, Customers!A:C, 3, FALSE), 0)</f>
        <v>43</v>
      </c>
      <c r="Q808">
        <f t="shared" si="12"/>
        <v>0.46158940397350995</v>
      </c>
    </row>
    <row r="809" spans="1:17" x14ac:dyDescent="0.3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  <c r="L809" t="str">
        <f>VLOOKUP(D809, Products!A:C, 3, FALSE)</f>
        <v>Grocery</v>
      </c>
      <c r="M809" t="str">
        <f>IFERROR(VLOOKUP(C809, Customers!A:E, 5, FALSE), "Unknown")</f>
        <v>Retail</v>
      </c>
      <c r="N809" t="str">
        <f>VLOOKUP(E809, Sales_Reps!A:C, 3, FALSE)</f>
        <v>East</v>
      </c>
      <c r="O809">
        <f>VLOOKUP(D809, Products!A:D, 4, FALSE)</f>
        <v>2027</v>
      </c>
      <c r="P809">
        <f>IFERROR(VLOOKUP(C809, Customers!A:C, 3, FALSE), 0)</f>
        <v>26</v>
      </c>
      <c r="Q809">
        <f t="shared" si="12"/>
        <v>0.50196560196560192</v>
      </c>
    </row>
    <row r="810" spans="1:17" x14ac:dyDescent="0.3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  <c r="L810" t="str">
        <f>VLOOKUP(D810, Products!A:C, 3, FALSE)</f>
        <v>Home</v>
      </c>
      <c r="M810" t="str">
        <f>IFERROR(VLOOKUP(C810, Customers!A:E, 5, FALSE), "Unknown")</f>
        <v>Retail</v>
      </c>
      <c r="N810" t="str">
        <f>VLOOKUP(E810, Sales_Reps!A:C, 3, FALSE)</f>
        <v>East</v>
      </c>
      <c r="O810">
        <f>VLOOKUP(D810, Products!A:D, 4, FALSE)</f>
        <v>288</v>
      </c>
      <c r="P810">
        <f>IFERROR(VLOOKUP(C810, Customers!A:C, 3, FALSE), 0)</f>
        <v>29</v>
      </c>
      <c r="Q810">
        <f t="shared" si="12"/>
        <v>0.22162162162162163</v>
      </c>
    </row>
    <row r="811" spans="1:17" x14ac:dyDescent="0.3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  <c r="L811" t="str">
        <f>VLOOKUP(D811, Products!A:C, 3, FALSE)</f>
        <v>Grocery</v>
      </c>
      <c r="M811" t="str">
        <f>IFERROR(VLOOKUP(C811, Customers!A:E, 5, FALSE), "Unknown")</f>
        <v>SMB</v>
      </c>
      <c r="N811" t="str">
        <f>VLOOKUP(E811, Sales_Reps!A:C, 3, FALSE)</f>
        <v>East</v>
      </c>
      <c r="O811">
        <f>VLOOKUP(D811, Products!A:D, 4, FALSE)</f>
        <v>434</v>
      </c>
      <c r="P811">
        <f>IFERROR(VLOOKUP(C811, Customers!A:C, 3, FALSE), 0)</f>
        <v>28</v>
      </c>
      <c r="Q811">
        <f t="shared" si="12"/>
        <v>0.5525773195876289</v>
      </c>
    </row>
    <row r="812" spans="1:17" x14ac:dyDescent="0.3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  <c r="L812" t="str">
        <f>VLOOKUP(D812, Products!A:C, 3, FALSE)</f>
        <v>Apparel</v>
      </c>
      <c r="M812" t="str">
        <f>IFERROR(VLOOKUP(C812, Customers!A:E, 5, FALSE), "Unknown")</f>
        <v>SMB</v>
      </c>
      <c r="N812" t="str">
        <f>VLOOKUP(E812, Sales_Reps!A:C, 3, FALSE)</f>
        <v>East</v>
      </c>
      <c r="O812">
        <f>VLOOKUP(D812, Products!A:D, 4, FALSE)</f>
        <v>1962</v>
      </c>
      <c r="P812">
        <f>IFERROR(VLOOKUP(C812, Customers!A:C, 3, FALSE), 0)</f>
        <v>60</v>
      </c>
      <c r="Q812">
        <f t="shared" si="12"/>
        <v>0.2786764705882353</v>
      </c>
    </row>
    <row r="813" spans="1:17" x14ac:dyDescent="0.3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  <c r="L813" t="str">
        <f>VLOOKUP(D813, Products!A:C, 3, FALSE)</f>
        <v>Sports</v>
      </c>
      <c r="M813" t="str">
        <f>IFERROR(VLOOKUP(C813, Customers!A:E, 5, FALSE), "Unknown")</f>
        <v>Corporate</v>
      </c>
      <c r="N813" t="str">
        <f>VLOOKUP(E813, Sales_Reps!A:C, 3, FALSE)</f>
        <v>South</v>
      </c>
      <c r="O813">
        <f>VLOOKUP(D813, Products!A:D, 4, FALSE)</f>
        <v>974</v>
      </c>
      <c r="P813">
        <f>IFERROR(VLOOKUP(C813, Customers!A:C, 3, FALSE), 0)</f>
        <v>43</v>
      </c>
      <c r="Q813">
        <f t="shared" si="12"/>
        <v>0.59416666666666662</v>
      </c>
    </row>
    <row r="814" spans="1:17" x14ac:dyDescent="0.3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  <c r="L814" t="str">
        <f>VLOOKUP(D814, Products!A:C, 3, FALSE)</f>
        <v>Apparel</v>
      </c>
      <c r="M814" t="str">
        <f>IFERROR(VLOOKUP(C814, Customers!A:E, 5, FALSE), "Unknown")</f>
        <v>Retail</v>
      </c>
      <c r="N814" t="str">
        <f>VLOOKUP(E814, Sales_Reps!A:C, 3, FALSE)</f>
        <v>South</v>
      </c>
      <c r="O814">
        <f>VLOOKUP(D814, Products!A:D, 4, FALSE)</f>
        <v>2629</v>
      </c>
      <c r="P814">
        <f>IFERROR(VLOOKUP(C814, Customers!A:C, 3, FALSE), 0)</f>
        <v>65</v>
      </c>
      <c r="Q814">
        <f t="shared" si="12"/>
        <v>0.26151685393258428</v>
      </c>
    </row>
    <row r="815" spans="1:17" x14ac:dyDescent="0.3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  <c r="L815" t="str">
        <f>VLOOKUP(D815, Products!A:C, 3, FALSE)</f>
        <v>Grocery</v>
      </c>
      <c r="M815" t="str">
        <f>IFERROR(VLOOKUP(C815, Customers!A:E, 5, FALSE), "Unknown")</f>
        <v>SMB</v>
      </c>
      <c r="N815" t="str">
        <f>VLOOKUP(E815, Sales_Reps!A:C, 3, FALSE)</f>
        <v>South</v>
      </c>
      <c r="O815">
        <f>VLOOKUP(D815, Products!A:D, 4, FALSE)</f>
        <v>2027</v>
      </c>
      <c r="P815">
        <f>IFERROR(VLOOKUP(C815, Customers!A:C, 3, FALSE), 0)</f>
        <v>29</v>
      </c>
      <c r="Q815">
        <f t="shared" si="12"/>
        <v>0.50196560196560192</v>
      </c>
    </row>
    <row r="816" spans="1:17" x14ac:dyDescent="0.3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  <c r="L816" t="str">
        <f>VLOOKUP(D816, Products!A:C, 3, FALSE)</f>
        <v>Sports</v>
      </c>
      <c r="M816" t="str">
        <f>IFERROR(VLOOKUP(C816, Customers!A:E, 5, FALSE), "Unknown")</f>
        <v>Retail</v>
      </c>
      <c r="N816" t="str">
        <f>VLOOKUP(E816, Sales_Reps!A:C, 3, FALSE)</f>
        <v>North</v>
      </c>
      <c r="O816">
        <f>VLOOKUP(D816, Products!A:D, 4, FALSE)</f>
        <v>2265</v>
      </c>
      <c r="P816">
        <f>IFERROR(VLOOKUP(C816, Customers!A:C, 3, FALSE), 0)</f>
        <v>53</v>
      </c>
      <c r="Q816">
        <f t="shared" si="12"/>
        <v>0.58133086876155271</v>
      </c>
    </row>
    <row r="817" spans="1:17" x14ac:dyDescent="0.3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  <c r="L817" t="str">
        <f>VLOOKUP(D817, Products!A:C, 3, FALSE)</f>
        <v>Grocery</v>
      </c>
      <c r="M817" t="str">
        <f>IFERROR(VLOOKUP(C817, Customers!A:E, 5, FALSE), "Unknown")</f>
        <v>SMB</v>
      </c>
      <c r="N817" t="str">
        <f>VLOOKUP(E817, Sales_Reps!A:C, 3, FALSE)</f>
        <v>West</v>
      </c>
      <c r="O817">
        <f>VLOOKUP(D817, Products!A:D, 4, FALSE)</f>
        <v>1435</v>
      </c>
      <c r="P817">
        <f>IFERROR(VLOOKUP(C817, Customers!A:C, 3, FALSE), 0)</f>
        <v>48</v>
      </c>
      <c r="Q817">
        <f t="shared" si="12"/>
        <v>0.48007246376811596</v>
      </c>
    </row>
    <row r="818" spans="1:17" x14ac:dyDescent="0.3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  <c r="L818" t="str">
        <f>VLOOKUP(D818, Products!A:C, 3, FALSE)</f>
        <v>Home</v>
      </c>
      <c r="M818" t="str">
        <f>IFERROR(VLOOKUP(C818, Customers!A:E, 5, FALSE), "Unknown")</f>
        <v>Retail</v>
      </c>
      <c r="N818" t="str">
        <f>VLOOKUP(E818, Sales_Reps!A:C, 3, FALSE)</f>
        <v>South</v>
      </c>
      <c r="O818">
        <f>VLOOKUP(D818, Products!A:D, 4, FALSE)</f>
        <v>2459</v>
      </c>
      <c r="P818">
        <f>IFERROR(VLOOKUP(C818, Customers!A:C, 3, FALSE), 0)</f>
        <v>29</v>
      </c>
      <c r="Q818">
        <f t="shared" si="12"/>
        <v>0.51594488188976373</v>
      </c>
    </row>
    <row r="819" spans="1:17" x14ac:dyDescent="0.3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  <c r="L819" t="str">
        <f>VLOOKUP(D819, Products!A:C, 3, FALSE)</f>
        <v>Home</v>
      </c>
      <c r="M819" t="str">
        <f>IFERROR(VLOOKUP(C819, Customers!A:E, 5, FALSE), "Unknown")</f>
        <v>Retail</v>
      </c>
      <c r="N819" t="str">
        <f>VLOOKUP(E819, Sales_Reps!A:C, 3, FALSE)</f>
        <v>East</v>
      </c>
      <c r="O819">
        <f>VLOOKUP(D819, Products!A:D, 4, FALSE)</f>
        <v>464</v>
      </c>
      <c r="P819">
        <f>IFERROR(VLOOKUP(C819, Customers!A:C, 3, FALSE), 0)</f>
        <v>39</v>
      </c>
      <c r="Q819">
        <f t="shared" si="12"/>
        <v>0.57431192660550456</v>
      </c>
    </row>
    <row r="820" spans="1:17" x14ac:dyDescent="0.3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  <c r="L820" t="str">
        <f>VLOOKUP(D820, Products!A:C, 3, FALSE)</f>
        <v>Grocery</v>
      </c>
      <c r="M820" t="str">
        <f>IFERROR(VLOOKUP(C820, Customers!A:E, 5, FALSE), "Unknown")</f>
        <v>Corporate</v>
      </c>
      <c r="N820" t="str">
        <f>VLOOKUP(E820, Sales_Reps!A:C, 3, FALSE)</f>
        <v>West</v>
      </c>
      <c r="O820">
        <f>VLOOKUP(D820, Products!A:D, 4, FALSE)</f>
        <v>1182</v>
      </c>
      <c r="P820">
        <f>IFERROR(VLOOKUP(C820, Customers!A:C, 3, FALSE), 0)</f>
        <v>41</v>
      </c>
      <c r="Q820">
        <f t="shared" si="12"/>
        <v>0.50336134453781511</v>
      </c>
    </row>
    <row r="821" spans="1:17" x14ac:dyDescent="0.3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  <c r="L821" t="str">
        <f>VLOOKUP(D821, Products!A:C, 3, FALSE)</f>
        <v>Apparel</v>
      </c>
      <c r="M821" t="str">
        <f>IFERROR(VLOOKUP(C821, Customers!A:E, 5, FALSE), "Unknown")</f>
        <v>SMB</v>
      </c>
      <c r="N821" t="str">
        <f>VLOOKUP(E821, Sales_Reps!A:C, 3, FALSE)</f>
        <v>West</v>
      </c>
      <c r="O821">
        <f>VLOOKUP(D821, Products!A:D, 4, FALSE)</f>
        <v>1886</v>
      </c>
      <c r="P821">
        <f>IFERROR(VLOOKUP(C821, Customers!A:C, 3, FALSE), 0)</f>
        <v>43</v>
      </c>
      <c r="Q821">
        <f t="shared" si="12"/>
        <v>0.4031645569620253</v>
      </c>
    </row>
    <row r="822" spans="1:17" x14ac:dyDescent="0.3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  <c r="L822" t="str">
        <f>VLOOKUP(D822, Products!A:C, 3, FALSE)</f>
        <v>Sports</v>
      </c>
      <c r="M822" t="str">
        <f>IFERROR(VLOOKUP(C822, Customers!A:E, 5, FALSE), "Unknown")</f>
        <v>SMB</v>
      </c>
      <c r="N822" t="str">
        <f>VLOOKUP(E822, Sales_Reps!A:C, 3, FALSE)</f>
        <v>West</v>
      </c>
      <c r="O822">
        <f>VLOOKUP(D822, Products!A:D, 4, FALSE)</f>
        <v>974</v>
      </c>
      <c r="P822">
        <f>IFERROR(VLOOKUP(C822, Customers!A:C, 3, FALSE), 0)</f>
        <v>43</v>
      </c>
      <c r="Q822">
        <f t="shared" si="12"/>
        <v>0.59416666666666662</v>
      </c>
    </row>
    <row r="823" spans="1:17" x14ac:dyDescent="0.3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  <c r="L823" t="str">
        <f>VLOOKUP(D823, Products!A:C, 3, FALSE)</f>
        <v>Electronics</v>
      </c>
      <c r="M823" t="str">
        <f>IFERROR(VLOOKUP(C823, Customers!A:E, 5, FALSE), "Unknown")</f>
        <v>Retail</v>
      </c>
      <c r="N823" t="str">
        <f>VLOOKUP(E823, Sales_Reps!A:C, 3, FALSE)</f>
        <v>East</v>
      </c>
      <c r="O823">
        <f>VLOOKUP(D823, Products!A:D, 4, FALSE)</f>
        <v>1052</v>
      </c>
      <c r="P823">
        <f>IFERROR(VLOOKUP(C823, Customers!A:C, 3, FALSE), 0)</f>
        <v>38</v>
      </c>
      <c r="Q823">
        <f t="shared" si="12"/>
        <v>0.5953846153846154</v>
      </c>
    </row>
    <row r="824" spans="1:17" x14ac:dyDescent="0.3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  <c r="L824" t="str">
        <f>VLOOKUP(D824, Products!A:C, 3, FALSE)</f>
        <v>Grocery</v>
      </c>
      <c r="M824" t="str">
        <f>IFERROR(VLOOKUP(C824, Customers!A:E, 5, FALSE), "Unknown")</f>
        <v>Unknown</v>
      </c>
      <c r="N824" t="str">
        <f>VLOOKUP(E824, Sales_Reps!A:C, 3, FALSE)</f>
        <v>East</v>
      </c>
      <c r="O824">
        <f>VLOOKUP(D824, Products!A:D, 4, FALSE)</f>
        <v>1203</v>
      </c>
      <c r="P824">
        <f>IFERROR(VLOOKUP(C824, Customers!A:C, 3, FALSE), 0)</f>
        <v>0</v>
      </c>
      <c r="Q824">
        <f t="shared" si="12"/>
        <v>0.47004405286343615</v>
      </c>
    </row>
    <row r="825" spans="1:17" x14ac:dyDescent="0.3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  <c r="L825" t="str">
        <f>VLOOKUP(D825, Products!A:C, 3, FALSE)</f>
        <v>Home</v>
      </c>
      <c r="M825" t="str">
        <f>IFERROR(VLOOKUP(C825, Customers!A:E, 5, FALSE), "Unknown")</f>
        <v>Corporate</v>
      </c>
      <c r="N825" t="str">
        <f>VLOOKUP(E825, Sales_Reps!A:C, 3, FALSE)</f>
        <v>East</v>
      </c>
      <c r="O825">
        <f>VLOOKUP(D825, Products!A:D, 4, FALSE)</f>
        <v>2549</v>
      </c>
      <c r="P825">
        <f>IFERROR(VLOOKUP(C825, Customers!A:C, 3, FALSE), 0)</f>
        <v>41</v>
      </c>
      <c r="Q825">
        <f t="shared" si="12"/>
        <v>0.53570127504553733</v>
      </c>
    </row>
    <row r="826" spans="1:17" x14ac:dyDescent="0.3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  <c r="L826" t="str">
        <f>VLOOKUP(D826, Products!A:C, 3, FALSE)</f>
        <v>Electronics</v>
      </c>
      <c r="M826" t="str">
        <f>IFERROR(VLOOKUP(C826, Customers!A:E, 5, FALSE), "Unknown")</f>
        <v>SMB</v>
      </c>
      <c r="N826" t="str">
        <f>VLOOKUP(E826, Sales_Reps!A:C, 3, FALSE)</f>
        <v>South</v>
      </c>
      <c r="O826">
        <f>VLOOKUP(D826, Products!A:D, 4, FALSE)</f>
        <v>1559</v>
      </c>
      <c r="P826">
        <f>IFERROR(VLOOKUP(C826, Customers!A:C, 3, FALSE), 0)</f>
        <v>35</v>
      </c>
      <c r="Q826">
        <f t="shared" si="12"/>
        <v>0.59715762273901807</v>
      </c>
    </row>
    <row r="827" spans="1:17" x14ac:dyDescent="0.3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  <c r="L827" t="str">
        <f>VLOOKUP(D827, Products!A:C, 3, FALSE)</f>
        <v>Beauty</v>
      </c>
      <c r="M827" t="str">
        <f>IFERROR(VLOOKUP(C827, Customers!A:E, 5, FALSE), "Unknown")</f>
        <v>Retail</v>
      </c>
      <c r="N827" t="str">
        <f>VLOOKUP(E827, Sales_Reps!A:C, 3, FALSE)</f>
        <v>West</v>
      </c>
      <c r="O827">
        <f>VLOOKUP(D827, Products!A:D, 4, FALSE)</f>
        <v>675</v>
      </c>
      <c r="P827">
        <f>IFERROR(VLOOKUP(C827, Customers!A:C, 3, FALSE), 0)</f>
        <v>28</v>
      </c>
      <c r="Q827">
        <f t="shared" si="12"/>
        <v>0.296875</v>
      </c>
    </row>
    <row r="828" spans="1:17" x14ac:dyDescent="0.3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  <c r="L828" t="str">
        <f>VLOOKUP(D828, Products!A:C, 3, FALSE)</f>
        <v>Beauty</v>
      </c>
      <c r="M828" t="str">
        <f>IFERROR(VLOOKUP(C828, Customers!A:E, 5, FALSE), "Unknown")</f>
        <v>Retail</v>
      </c>
      <c r="N828" t="str">
        <f>VLOOKUP(E828, Sales_Reps!A:C, 3, FALSE)</f>
        <v>North</v>
      </c>
      <c r="O828">
        <f>VLOOKUP(D828, Products!A:D, 4, FALSE)</f>
        <v>2768</v>
      </c>
      <c r="P828">
        <f>IFERROR(VLOOKUP(C828, Customers!A:C, 3, FALSE), 0)</f>
        <v>37</v>
      </c>
      <c r="Q828">
        <f t="shared" si="12"/>
        <v>0.43278688524590164</v>
      </c>
    </row>
    <row r="829" spans="1:17" x14ac:dyDescent="0.3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  <c r="L829" t="str">
        <f>VLOOKUP(D829, Products!A:C, 3, FALSE)</f>
        <v>Sports</v>
      </c>
      <c r="M829" t="str">
        <f>IFERROR(VLOOKUP(C829, Customers!A:E, 5, FALSE), "Unknown")</f>
        <v>SMB</v>
      </c>
      <c r="N829" t="str">
        <f>VLOOKUP(E829, Sales_Reps!A:C, 3, FALSE)</f>
        <v>North</v>
      </c>
      <c r="O829">
        <f>VLOOKUP(D829, Products!A:D, 4, FALSE)</f>
        <v>974</v>
      </c>
      <c r="P829">
        <f>IFERROR(VLOOKUP(C829, Customers!A:C, 3, FALSE), 0)</f>
        <v>27</v>
      </c>
      <c r="Q829">
        <f t="shared" si="12"/>
        <v>0.59416666666666662</v>
      </c>
    </row>
    <row r="830" spans="1:17" x14ac:dyDescent="0.3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  <c r="L830" t="str">
        <f>VLOOKUP(D830, Products!A:C, 3, FALSE)</f>
        <v>Apparel</v>
      </c>
      <c r="M830" t="str">
        <f>IFERROR(VLOOKUP(C830, Customers!A:E, 5, FALSE), "Unknown")</f>
        <v>SMB</v>
      </c>
      <c r="N830" t="str">
        <f>VLOOKUP(E830, Sales_Reps!A:C, 3, FALSE)</f>
        <v>South</v>
      </c>
      <c r="O830">
        <f>VLOOKUP(D830, Products!A:D, 4, FALSE)</f>
        <v>396</v>
      </c>
      <c r="P830">
        <f>IFERROR(VLOOKUP(C830, Customers!A:C, 3, FALSE), 0)</f>
        <v>54</v>
      </c>
      <c r="Q830">
        <f t="shared" si="12"/>
        <v>0.36129032258064514</v>
      </c>
    </row>
    <row r="831" spans="1:17" x14ac:dyDescent="0.3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  <c r="L831" t="str">
        <f>VLOOKUP(D831, Products!A:C, 3, FALSE)</f>
        <v>Home</v>
      </c>
      <c r="M831" t="str">
        <f>IFERROR(VLOOKUP(C831, Customers!A:E, 5, FALSE), "Unknown")</f>
        <v>Retail</v>
      </c>
      <c r="N831" t="str">
        <f>VLOOKUP(E831, Sales_Reps!A:C, 3, FALSE)</f>
        <v>South</v>
      </c>
      <c r="O831">
        <f>VLOOKUP(D831, Products!A:D, 4, FALSE)</f>
        <v>1850</v>
      </c>
      <c r="P831">
        <f>IFERROR(VLOOKUP(C831, Customers!A:C, 3, FALSE), 0)</f>
        <v>36</v>
      </c>
      <c r="Q831">
        <f t="shared" si="12"/>
        <v>0.59869848156182215</v>
      </c>
    </row>
    <row r="832" spans="1:17" x14ac:dyDescent="0.3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  <c r="L832" t="str">
        <f>VLOOKUP(D832, Products!A:C, 3, FALSE)</f>
        <v>Home</v>
      </c>
      <c r="M832" t="str">
        <f>IFERROR(VLOOKUP(C832, Customers!A:E, 5, FALSE), "Unknown")</f>
        <v>SMB</v>
      </c>
      <c r="N832" t="str">
        <f>VLOOKUP(E832, Sales_Reps!A:C, 3, FALSE)</f>
        <v>South</v>
      </c>
      <c r="O832">
        <f>VLOOKUP(D832, Products!A:D, 4, FALSE)</f>
        <v>1850</v>
      </c>
      <c r="P832">
        <f>IFERROR(VLOOKUP(C832, Customers!A:C, 3, FALSE), 0)</f>
        <v>51</v>
      </c>
      <c r="Q832">
        <f t="shared" si="12"/>
        <v>0.59869848156182215</v>
      </c>
    </row>
    <row r="833" spans="1:17" x14ac:dyDescent="0.3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  <c r="L833" t="str">
        <f>VLOOKUP(D833, Products!A:C, 3, FALSE)</f>
        <v>Grocery</v>
      </c>
      <c r="M833" t="str">
        <f>IFERROR(VLOOKUP(C833, Customers!A:E, 5, FALSE), "Unknown")</f>
        <v>SMB</v>
      </c>
      <c r="N833" t="str">
        <f>VLOOKUP(E833, Sales_Reps!A:C, 3, FALSE)</f>
        <v>West</v>
      </c>
      <c r="O833">
        <f>VLOOKUP(D833, Products!A:D, 4, FALSE)</f>
        <v>434</v>
      </c>
      <c r="P833">
        <f>IFERROR(VLOOKUP(C833, Customers!A:C, 3, FALSE), 0)</f>
        <v>31</v>
      </c>
      <c r="Q833">
        <f t="shared" si="12"/>
        <v>0.5525773195876289</v>
      </c>
    </row>
    <row r="834" spans="1:17" x14ac:dyDescent="0.3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  <c r="L834" t="str">
        <f>VLOOKUP(D834, Products!A:C, 3, FALSE)</f>
        <v>Electronics</v>
      </c>
      <c r="M834" t="str">
        <f>IFERROR(VLOOKUP(C834, Customers!A:E, 5, FALSE), "Unknown")</f>
        <v>Corporate</v>
      </c>
      <c r="N834" t="str">
        <f>VLOOKUP(E834, Sales_Reps!A:C, 3, FALSE)</f>
        <v>West</v>
      </c>
      <c r="O834">
        <f>VLOOKUP(D834, Products!A:D, 4, FALSE)</f>
        <v>861</v>
      </c>
      <c r="P834">
        <f>IFERROR(VLOOKUP(C834, Customers!A:C, 3, FALSE), 0)</f>
        <v>35</v>
      </c>
      <c r="Q834">
        <f t="shared" si="12"/>
        <v>0.39790209790209791</v>
      </c>
    </row>
    <row r="835" spans="1:17" x14ac:dyDescent="0.3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  <c r="L835" t="str">
        <f>VLOOKUP(D835, Products!A:C, 3, FALSE)</f>
        <v>Grocery</v>
      </c>
      <c r="M835" t="str">
        <f>IFERROR(VLOOKUP(C835, Customers!A:E, 5, FALSE), "Unknown")</f>
        <v>SMB</v>
      </c>
      <c r="N835" t="str">
        <f>VLOOKUP(E835, Sales_Reps!A:C, 3, FALSE)</f>
        <v>South</v>
      </c>
      <c r="O835">
        <f>VLOOKUP(D835, Products!A:D, 4, FALSE)</f>
        <v>2436</v>
      </c>
      <c r="P835">
        <f>IFERROR(VLOOKUP(C835, Customers!A:C, 3, FALSE), 0)</f>
        <v>50</v>
      </c>
      <c r="Q835">
        <f t="shared" ref="Q835:Q898" si="13">(G835 - O835) / G835</f>
        <v>0.35555555555555557</v>
      </c>
    </row>
    <row r="836" spans="1:17" x14ac:dyDescent="0.3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  <c r="L836" t="str">
        <f>VLOOKUP(D836, Products!A:C, 3, FALSE)</f>
        <v>Beauty</v>
      </c>
      <c r="M836" t="str">
        <f>IFERROR(VLOOKUP(C836, Customers!A:E, 5, FALSE), "Unknown")</f>
        <v>SMB</v>
      </c>
      <c r="N836" t="str">
        <f>VLOOKUP(E836, Sales_Reps!A:C, 3, FALSE)</f>
        <v>East</v>
      </c>
      <c r="O836">
        <f>VLOOKUP(D836, Products!A:D, 4, FALSE)</f>
        <v>647</v>
      </c>
      <c r="P836">
        <f>IFERROR(VLOOKUP(C836, Customers!A:C, 3, FALSE), 0)</f>
        <v>65</v>
      </c>
      <c r="Q836">
        <f t="shared" si="13"/>
        <v>0.57987012987012987</v>
      </c>
    </row>
    <row r="837" spans="1:17" x14ac:dyDescent="0.3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  <c r="L837" t="str">
        <f>VLOOKUP(D837, Products!A:C, 3, FALSE)</f>
        <v>Home</v>
      </c>
      <c r="M837" t="str">
        <f>IFERROR(VLOOKUP(C837, Customers!A:E, 5, FALSE), "Unknown")</f>
        <v>Retail</v>
      </c>
      <c r="N837" t="str">
        <f>VLOOKUP(E837, Sales_Reps!A:C, 3, FALSE)</f>
        <v>East</v>
      </c>
      <c r="O837">
        <f>VLOOKUP(D837, Products!A:D, 4, FALSE)</f>
        <v>519</v>
      </c>
      <c r="P837">
        <f>IFERROR(VLOOKUP(C837, Customers!A:C, 3, FALSE), 0)</f>
        <v>39</v>
      </c>
      <c r="Q837">
        <f t="shared" si="13"/>
        <v>0.51944444444444449</v>
      </c>
    </row>
    <row r="838" spans="1:17" x14ac:dyDescent="0.3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  <c r="L838" t="str">
        <f>VLOOKUP(D838, Products!A:C, 3, FALSE)</f>
        <v>Sports</v>
      </c>
      <c r="M838" t="str">
        <f>IFERROR(VLOOKUP(C838, Customers!A:E, 5, FALSE), "Unknown")</f>
        <v>Retail</v>
      </c>
      <c r="N838" t="str">
        <f>VLOOKUP(E838, Sales_Reps!A:C, 3, FALSE)</f>
        <v>North</v>
      </c>
      <c r="O838">
        <f>VLOOKUP(D838, Products!A:D, 4, FALSE)</f>
        <v>974</v>
      </c>
      <c r="P838">
        <f>IFERROR(VLOOKUP(C838, Customers!A:C, 3, FALSE), 0)</f>
        <v>65</v>
      </c>
      <c r="Q838">
        <f t="shared" si="13"/>
        <v>0.59416666666666662</v>
      </c>
    </row>
    <row r="839" spans="1:17" x14ac:dyDescent="0.3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  <c r="L839" t="str">
        <f>VLOOKUP(D839, Products!A:C, 3, FALSE)</f>
        <v>Home</v>
      </c>
      <c r="M839" t="str">
        <f>IFERROR(VLOOKUP(C839, Customers!A:E, 5, FALSE), "Unknown")</f>
        <v>SMB</v>
      </c>
      <c r="N839" t="str">
        <f>VLOOKUP(E839, Sales_Reps!A:C, 3, FALSE)</f>
        <v>East</v>
      </c>
      <c r="O839">
        <f>VLOOKUP(D839, Products!A:D, 4, FALSE)</f>
        <v>519</v>
      </c>
      <c r="P839">
        <f>IFERROR(VLOOKUP(C839, Customers!A:C, 3, FALSE), 0)</f>
        <v>46</v>
      </c>
      <c r="Q839">
        <f t="shared" si="13"/>
        <v>0.51944444444444449</v>
      </c>
    </row>
    <row r="840" spans="1:17" x14ac:dyDescent="0.3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  <c r="L840" t="str">
        <f>VLOOKUP(D840, Products!A:C, 3, FALSE)</f>
        <v>Grocery</v>
      </c>
      <c r="M840" t="str">
        <f>IFERROR(VLOOKUP(C840, Customers!A:E, 5, FALSE), "Unknown")</f>
        <v>SMB</v>
      </c>
      <c r="N840" t="str">
        <f>VLOOKUP(E840, Sales_Reps!A:C, 3, FALSE)</f>
        <v>West</v>
      </c>
      <c r="O840">
        <f>VLOOKUP(D840, Products!A:D, 4, FALSE)</f>
        <v>1203</v>
      </c>
      <c r="P840">
        <f>IFERROR(VLOOKUP(C840, Customers!A:C, 3, FALSE), 0)</f>
        <v>51</v>
      </c>
      <c r="Q840">
        <f t="shared" si="13"/>
        <v>0.47004405286343615</v>
      </c>
    </row>
    <row r="841" spans="1:17" x14ac:dyDescent="0.3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  <c r="L841" t="str">
        <f>VLOOKUP(D841, Products!A:C, 3, FALSE)</f>
        <v>Grocery</v>
      </c>
      <c r="M841" t="str">
        <f>IFERROR(VLOOKUP(C841, Customers!A:E, 5, FALSE), "Unknown")</f>
        <v>SMB</v>
      </c>
      <c r="N841" t="str">
        <f>VLOOKUP(E841, Sales_Reps!A:C, 3, FALSE)</f>
        <v>West</v>
      </c>
      <c r="O841">
        <f>VLOOKUP(D841, Products!A:D, 4, FALSE)</f>
        <v>2214</v>
      </c>
      <c r="P841">
        <f>IFERROR(VLOOKUP(C841, Customers!A:C, 3, FALSE), 0)</f>
        <v>27</v>
      </c>
      <c r="Q841">
        <f t="shared" si="13"/>
        <v>0.39508196721311473</v>
      </c>
    </row>
    <row r="842" spans="1:17" x14ac:dyDescent="0.3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  <c r="L842" t="str">
        <f>VLOOKUP(D842, Products!A:C, 3, FALSE)</f>
        <v>Home</v>
      </c>
      <c r="M842" t="str">
        <f>IFERROR(VLOOKUP(C842, Customers!A:E, 5, FALSE), "Unknown")</f>
        <v>SMB</v>
      </c>
      <c r="N842" t="str">
        <f>VLOOKUP(E842, Sales_Reps!A:C, 3, FALSE)</f>
        <v>North</v>
      </c>
      <c r="O842">
        <f>VLOOKUP(D842, Products!A:D, 4, FALSE)</f>
        <v>1556</v>
      </c>
      <c r="P842">
        <f>IFERROR(VLOOKUP(C842, Customers!A:C, 3, FALSE), 0)</f>
        <v>48</v>
      </c>
      <c r="Q842">
        <f t="shared" si="13"/>
        <v>0.52123076923076928</v>
      </c>
    </row>
    <row r="843" spans="1:17" x14ac:dyDescent="0.3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  <c r="L843" t="str">
        <f>VLOOKUP(D843, Products!A:C, 3, FALSE)</f>
        <v>Beauty</v>
      </c>
      <c r="M843" t="str">
        <f>IFERROR(VLOOKUP(C843, Customers!A:E, 5, FALSE), "Unknown")</f>
        <v>SMB</v>
      </c>
      <c r="N843" t="str">
        <f>VLOOKUP(E843, Sales_Reps!A:C, 3, FALSE)</f>
        <v>South</v>
      </c>
      <c r="O843">
        <f>VLOOKUP(D843, Products!A:D, 4, FALSE)</f>
        <v>1222</v>
      </c>
      <c r="P843">
        <f>IFERROR(VLOOKUP(C843, Customers!A:C, 3, FALSE), 0)</f>
        <v>24</v>
      </c>
      <c r="Q843">
        <f t="shared" si="13"/>
        <v>0.2593939393939394</v>
      </c>
    </row>
    <row r="844" spans="1:17" x14ac:dyDescent="0.3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  <c r="L844" t="str">
        <f>VLOOKUP(D844, Products!A:C, 3, FALSE)</f>
        <v>Home</v>
      </c>
      <c r="M844" t="str">
        <f>IFERROR(VLOOKUP(C844, Customers!A:E, 5, FALSE), "Unknown")</f>
        <v>SMB</v>
      </c>
      <c r="N844" t="str">
        <f>VLOOKUP(E844, Sales_Reps!A:C, 3, FALSE)</f>
        <v>North</v>
      </c>
      <c r="O844">
        <f>VLOOKUP(D844, Products!A:D, 4, FALSE)</f>
        <v>2459</v>
      </c>
      <c r="P844">
        <f>IFERROR(VLOOKUP(C844, Customers!A:C, 3, FALSE), 0)</f>
        <v>43</v>
      </c>
      <c r="Q844">
        <f t="shared" si="13"/>
        <v>0.51594488188976373</v>
      </c>
    </row>
    <row r="845" spans="1:17" x14ac:dyDescent="0.3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  <c r="L845" t="str">
        <f>VLOOKUP(D845, Products!A:C, 3, FALSE)</f>
        <v>Sports</v>
      </c>
      <c r="M845" t="str">
        <f>IFERROR(VLOOKUP(C845, Customers!A:E, 5, FALSE), "Unknown")</f>
        <v>Retail</v>
      </c>
      <c r="N845" t="str">
        <f>VLOOKUP(E845, Sales_Reps!A:C, 3, FALSE)</f>
        <v>West</v>
      </c>
      <c r="O845">
        <f>VLOOKUP(D845, Products!A:D, 4, FALSE)</f>
        <v>2467</v>
      </c>
      <c r="P845">
        <f>IFERROR(VLOOKUP(C845, Customers!A:C, 3, FALSE), 0)</f>
        <v>61</v>
      </c>
      <c r="Q845">
        <f t="shared" si="13"/>
        <v>0.28492753623188405</v>
      </c>
    </row>
    <row r="846" spans="1:17" x14ac:dyDescent="0.3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  <c r="L846" t="str">
        <f>VLOOKUP(D846, Products!A:C, 3, FALSE)</f>
        <v>Beauty</v>
      </c>
      <c r="M846" t="str">
        <f>IFERROR(VLOOKUP(C846, Customers!A:E, 5, FALSE), "Unknown")</f>
        <v>Retail</v>
      </c>
      <c r="N846" t="str">
        <f>VLOOKUP(E846, Sales_Reps!A:C, 3, FALSE)</f>
        <v>East</v>
      </c>
      <c r="O846">
        <f>VLOOKUP(D846, Products!A:D, 4, FALSE)</f>
        <v>1728</v>
      </c>
      <c r="P846">
        <f>IFERROR(VLOOKUP(C846, Customers!A:C, 3, FALSE), 0)</f>
        <v>41</v>
      </c>
      <c r="Q846">
        <f t="shared" si="13"/>
        <v>0.48417910447761192</v>
      </c>
    </row>
    <row r="847" spans="1:17" x14ac:dyDescent="0.3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  <c r="L847" t="str">
        <f>VLOOKUP(D847, Products!A:C, 3, FALSE)</f>
        <v>Grocery</v>
      </c>
      <c r="M847" t="str">
        <f>IFERROR(VLOOKUP(C847, Customers!A:E, 5, FALSE), "Unknown")</f>
        <v>Retail</v>
      </c>
      <c r="N847" t="str">
        <f>VLOOKUP(E847, Sales_Reps!A:C, 3, FALSE)</f>
        <v>West</v>
      </c>
      <c r="O847">
        <f>VLOOKUP(D847, Products!A:D, 4, FALSE)</f>
        <v>1010</v>
      </c>
      <c r="P847">
        <f>IFERROR(VLOOKUP(C847, Customers!A:C, 3, FALSE), 0)</f>
        <v>31</v>
      </c>
      <c r="Q847">
        <f t="shared" si="13"/>
        <v>0.54298642533936647</v>
      </c>
    </row>
    <row r="848" spans="1:17" x14ac:dyDescent="0.3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  <c r="L848" t="str">
        <f>VLOOKUP(D848, Products!A:C, 3, FALSE)</f>
        <v>Beauty</v>
      </c>
      <c r="M848" t="str">
        <f>IFERROR(VLOOKUP(C848, Customers!A:E, 5, FALSE), "Unknown")</f>
        <v>Retail</v>
      </c>
      <c r="N848" t="str">
        <f>VLOOKUP(E848, Sales_Reps!A:C, 3, FALSE)</f>
        <v>North</v>
      </c>
      <c r="O848">
        <f>VLOOKUP(D848, Products!A:D, 4, FALSE)</f>
        <v>2768</v>
      </c>
      <c r="P848">
        <f>IFERROR(VLOOKUP(C848, Customers!A:C, 3, FALSE), 0)</f>
        <v>43</v>
      </c>
      <c r="Q848">
        <f t="shared" si="13"/>
        <v>0.43278688524590164</v>
      </c>
    </row>
    <row r="849" spans="1:17" x14ac:dyDescent="0.3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  <c r="L849" t="str">
        <f>VLOOKUP(D849, Products!A:C, 3, FALSE)</f>
        <v>Sports</v>
      </c>
      <c r="M849" t="str">
        <f>IFERROR(VLOOKUP(C849, Customers!A:E, 5, FALSE), "Unknown")</f>
        <v>Retail</v>
      </c>
      <c r="N849" t="str">
        <f>VLOOKUP(E849, Sales_Reps!A:C, 3, FALSE)</f>
        <v>North</v>
      </c>
      <c r="O849">
        <f>VLOOKUP(D849, Products!A:D, 4, FALSE)</f>
        <v>2028</v>
      </c>
      <c r="P849">
        <f>IFERROR(VLOOKUP(C849, Customers!A:C, 3, FALSE), 0)</f>
        <v>49</v>
      </c>
      <c r="Q849">
        <f t="shared" si="13"/>
        <v>0.29090909090909089</v>
      </c>
    </row>
    <row r="850" spans="1:17" x14ac:dyDescent="0.3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  <c r="L850" t="str">
        <f>VLOOKUP(D850, Products!A:C, 3, FALSE)</f>
        <v>Grocery</v>
      </c>
      <c r="M850" t="str">
        <f>IFERROR(VLOOKUP(C850, Customers!A:E, 5, FALSE), "Unknown")</f>
        <v>Retail</v>
      </c>
      <c r="N850" t="str">
        <f>VLOOKUP(E850, Sales_Reps!A:C, 3, FALSE)</f>
        <v>North</v>
      </c>
      <c r="O850">
        <f>VLOOKUP(D850, Products!A:D, 4, FALSE)</f>
        <v>434</v>
      </c>
      <c r="P850">
        <f>IFERROR(VLOOKUP(C850, Customers!A:C, 3, FALSE), 0)</f>
        <v>65</v>
      </c>
      <c r="Q850">
        <f t="shared" si="13"/>
        <v>0.5525773195876289</v>
      </c>
    </row>
    <row r="851" spans="1:17" x14ac:dyDescent="0.3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  <c r="L851" t="str">
        <f>VLOOKUP(D851, Products!A:C, 3, FALSE)</f>
        <v>Grocery</v>
      </c>
      <c r="M851" t="str">
        <f>IFERROR(VLOOKUP(C851, Customers!A:E, 5, FALSE), "Unknown")</f>
        <v>Corporate</v>
      </c>
      <c r="N851" t="str">
        <f>VLOOKUP(E851, Sales_Reps!A:C, 3, FALSE)</f>
        <v>North</v>
      </c>
      <c r="O851">
        <f>VLOOKUP(D851, Products!A:D, 4, FALSE)</f>
        <v>1412</v>
      </c>
      <c r="P851">
        <f>IFERROR(VLOOKUP(C851, Customers!A:C, 3, FALSE), 0)</f>
        <v>29</v>
      </c>
      <c r="Q851">
        <f t="shared" si="13"/>
        <v>0.37797356828193834</v>
      </c>
    </row>
    <row r="852" spans="1:17" x14ac:dyDescent="0.3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  <c r="L852" t="str">
        <f>VLOOKUP(D852, Products!A:C, 3, FALSE)</f>
        <v>Apparel</v>
      </c>
      <c r="M852" t="str">
        <f>IFERROR(VLOOKUP(C852, Customers!A:E, 5, FALSE), "Unknown")</f>
        <v>SMB</v>
      </c>
      <c r="N852" t="str">
        <f>VLOOKUP(E852, Sales_Reps!A:C, 3, FALSE)</f>
        <v>South</v>
      </c>
      <c r="O852">
        <f>VLOOKUP(D852, Products!A:D, 4, FALSE)</f>
        <v>2629</v>
      </c>
      <c r="P852">
        <f>IFERROR(VLOOKUP(C852, Customers!A:C, 3, FALSE), 0)</f>
        <v>62</v>
      </c>
      <c r="Q852">
        <f t="shared" si="13"/>
        <v>0.26151685393258428</v>
      </c>
    </row>
    <row r="853" spans="1:17" x14ac:dyDescent="0.3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  <c r="L853" t="str">
        <f>VLOOKUP(D853, Products!A:C, 3, FALSE)</f>
        <v>Sports</v>
      </c>
      <c r="M853" t="str">
        <f>IFERROR(VLOOKUP(C853, Customers!A:E, 5, FALSE), "Unknown")</f>
        <v>Corporate</v>
      </c>
      <c r="N853" t="str">
        <f>VLOOKUP(E853, Sales_Reps!A:C, 3, FALSE)</f>
        <v>South</v>
      </c>
      <c r="O853">
        <f>VLOOKUP(D853, Products!A:D, 4, FALSE)</f>
        <v>2265</v>
      </c>
      <c r="P853">
        <f>IFERROR(VLOOKUP(C853, Customers!A:C, 3, FALSE), 0)</f>
        <v>55</v>
      </c>
      <c r="Q853">
        <f t="shared" si="13"/>
        <v>0.58133086876155271</v>
      </c>
    </row>
    <row r="854" spans="1:17" x14ac:dyDescent="0.3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  <c r="L854" t="str">
        <f>VLOOKUP(D854, Products!A:C, 3, FALSE)</f>
        <v>Apparel</v>
      </c>
      <c r="M854" t="str">
        <f>IFERROR(VLOOKUP(C854, Customers!A:E, 5, FALSE), "Unknown")</f>
        <v>Retail</v>
      </c>
      <c r="N854" t="str">
        <f>VLOOKUP(E854, Sales_Reps!A:C, 3, FALSE)</f>
        <v>North</v>
      </c>
      <c r="O854">
        <f>VLOOKUP(D854, Products!A:D, 4, FALSE)</f>
        <v>1173</v>
      </c>
      <c r="P854">
        <f>IFERROR(VLOOKUP(C854, Customers!A:C, 3, FALSE), 0)</f>
        <v>28</v>
      </c>
      <c r="Q854">
        <f t="shared" si="13"/>
        <v>0.52701612903225803</v>
      </c>
    </row>
    <row r="855" spans="1:17" x14ac:dyDescent="0.3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  <c r="L855" t="str">
        <f>VLOOKUP(D855, Products!A:C, 3, FALSE)</f>
        <v>Apparel</v>
      </c>
      <c r="M855" t="str">
        <f>IFERROR(VLOOKUP(C855, Customers!A:E, 5, FALSE), "Unknown")</f>
        <v>Retail</v>
      </c>
      <c r="N855" t="str">
        <f>VLOOKUP(E855, Sales_Reps!A:C, 3, FALSE)</f>
        <v>South</v>
      </c>
      <c r="O855">
        <f>VLOOKUP(D855, Products!A:D, 4, FALSE)</f>
        <v>391</v>
      </c>
      <c r="P855">
        <f>IFERROR(VLOOKUP(C855, Customers!A:C, 3, FALSE), 0)</f>
        <v>45</v>
      </c>
      <c r="Q855">
        <f t="shared" si="13"/>
        <v>0.52317073170731709</v>
      </c>
    </row>
    <row r="856" spans="1:17" x14ac:dyDescent="0.3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  <c r="L856" t="str">
        <f>VLOOKUP(D856, Products!A:C, 3, FALSE)</f>
        <v>Electronics</v>
      </c>
      <c r="M856" t="str">
        <f>IFERROR(VLOOKUP(C856, Customers!A:E, 5, FALSE), "Unknown")</f>
        <v>Retail</v>
      </c>
      <c r="N856" t="str">
        <f>VLOOKUP(E856, Sales_Reps!A:C, 3, FALSE)</f>
        <v>South</v>
      </c>
      <c r="O856">
        <f>VLOOKUP(D856, Products!A:D, 4, FALSE)</f>
        <v>2405</v>
      </c>
      <c r="P856">
        <f>IFERROR(VLOOKUP(C856, Customers!A:C, 3, FALSE), 0)</f>
        <v>34</v>
      </c>
      <c r="Q856">
        <f t="shared" si="13"/>
        <v>0.54878048780487809</v>
      </c>
    </row>
    <row r="857" spans="1:17" x14ac:dyDescent="0.3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  <c r="L857" t="str">
        <f>VLOOKUP(D857, Products!A:C, 3, FALSE)</f>
        <v>Beauty</v>
      </c>
      <c r="M857" t="str">
        <f>IFERROR(VLOOKUP(C857, Customers!A:E, 5, FALSE), "Unknown")</f>
        <v>Retail</v>
      </c>
      <c r="N857" t="str">
        <f>VLOOKUP(E857, Sales_Reps!A:C, 3, FALSE)</f>
        <v>North</v>
      </c>
      <c r="O857">
        <f>VLOOKUP(D857, Products!A:D, 4, FALSE)</f>
        <v>2420</v>
      </c>
      <c r="P857">
        <f>IFERROR(VLOOKUP(C857, Customers!A:C, 3, FALSE), 0)</f>
        <v>64</v>
      </c>
      <c r="Q857">
        <f t="shared" si="13"/>
        <v>0.29855072463768118</v>
      </c>
    </row>
    <row r="858" spans="1:17" x14ac:dyDescent="0.3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  <c r="L858" t="str">
        <f>VLOOKUP(D858, Products!A:C, 3, FALSE)</f>
        <v>Beauty</v>
      </c>
      <c r="M858" t="str">
        <f>IFERROR(VLOOKUP(C858, Customers!A:E, 5, FALSE), "Unknown")</f>
        <v>Retail</v>
      </c>
      <c r="N858" t="str">
        <f>VLOOKUP(E858, Sales_Reps!A:C, 3, FALSE)</f>
        <v>East</v>
      </c>
      <c r="O858">
        <f>VLOOKUP(D858, Products!A:D, 4, FALSE)</f>
        <v>675</v>
      </c>
      <c r="P858">
        <f>IFERROR(VLOOKUP(C858, Customers!A:C, 3, FALSE), 0)</f>
        <v>41</v>
      </c>
      <c r="Q858">
        <f t="shared" si="13"/>
        <v>0.296875</v>
      </c>
    </row>
    <row r="859" spans="1:17" x14ac:dyDescent="0.3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  <c r="L859" t="str">
        <f>VLOOKUP(D859, Products!A:C, 3, FALSE)</f>
        <v>Apparel</v>
      </c>
      <c r="M859" t="str">
        <f>IFERROR(VLOOKUP(C859, Customers!A:E, 5, FALSE), "Unknown")</f>
        <v>SMB</v>
      </c>
      <c r="N859" t="str">
        <f>VLOOKUP(E859, Sales_Reps!A:C, 3, FALSE)</f>
        <v>North</v>
      </c>
      <c r="O859">
        <f>VLOOKUP(D859, Products!A:D, 4, FALSE)</f>
        <v>1748</v>
      </c>
      <c r="P859">
        <f>IFERROR(VLOOKUP(C859, Customers!A:C, 3, FALSE), 0)</f>
        <v>43</v>
      </c>
      <c r="Q859">
        <f t="shared" si="13"/>
        <v>0.49333333333333335</v>
      </c>
    </row>
    <row r="860" spans="1:17" x14ac:dyDescent="0.3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  <c r="L860" t="str">
        <f>VLOOKUP(D860, Products!A:C, 3, FALSE)</f>
        <v>Electronics</v>
      </c>
      <c r="M860" t="str">
        <f>IFERROR(VLOOKUP(C860, Customers!A:E, 5, FALSE), "Unknown")</f>
        <v>SMB</v>
      </c>
      <c r="N860" t="str">
        <f>VLOOKUP(E860, Sales_Reps!A:C, 3, FALSE)</f>
        <v>North</v>
      </c>
      <c r="O860">
        <f>VLOOKUP(D860, Products!A:D, 4, FALSE)</f>
        <v>517</v>
      </c>
      <c r="P860">
        <f>IFERROR(VLOOKUP(C860, Customers!A:C, 3, FALSE), 0)</f>
        <v>59</v>
      </c>
      <c r="Q860">
        <f t="shared" si="13"/>
        <v>0.57622950819672136</v>
      </c>
    </row>
    <row r="861" spans="1:17" x14ac:dyDescent="0.3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  <c r="L861" t="str">
        <f>VLOOKUP(D861, Products!A:C, 3, FALSE)</f>
        <v>Electronics</v>
      </c>
      <c r="M861" t="str">
        <f>IFERROR(VLOOKUP(C861, Customers!A:E, 5, FALSE), "Unknown")</f>
        <v>Retail</v>
      </c>
      <c r="N861" t="str">
        <f>VLOOKUP(E861, Sales_Reps!A:C, 3, FALSE)</f>
        <v>North</v>
      </c>
      <c r="O861">
        <f>VLOOKUP(D861, Products!A:D, 4, FALSE)</f>
        <v>2405</v>
      </c>
      <c r="P861">
        <f>IFERROR(VLOOKUP(C861, Customers!A:C, 3, FALSE), 0)</f>
        <v>39</v>
      </c>
      <c r="Q861">
        <f t="shared" si="13"/>
        <v>0.54878048780487809</v>
      </c>
    </row>
    <row r="862" spans="1:17" x14ac:dyDescent="0.3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  <c r="L862" t="str">
        <f>VLOOKUP(D862, Products!A:C, 3, FALSE)</f>
        <v>Electronics</v>
      </c>
      <c r="M862" t="str">
        <f>IFERROR(VLOOKUP(C862, Customers!A:E, 5, FALSE), "Unknown")</f>
        <v>Retail</v>
      </c>
      <c r="N862" t="str">
        <f>VLOOKUP(E862, Sales_Reps!A:C, 3, FALSE)</f>
        <v>West</v>
      </c>
      <c r="O862">
        <f>VLOOKUP(D862, Products!A:D, 4, FALSE)</f>
        <v>1665</v>
      </c>
      <c r="P862">
        <f>IFERROR(VLOOKUP(C862, Customers!A:C, 3, FALSE), 0)</f>
        <v>29</v>
      </c>
      <c r="Q862">
        <f t="shared" si="13"/>
        <v>0.53361344537815125</v>
      </c>
    </row>
    <row r="863" spans="1:17" x14ac:dyDescent="0.3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  <c r="L863" t="str">
        <f>VLOOKUP(D863, Products!A:C, 3, FALSE)</f>
        <v>Grocery</v>
      </c>
      <c r="M863" t="str">
        <f>IFERROR(VLOOKUP(C863, Customers!A:E, 5, FALSE), "Unknown")</f>
        <v>Retail</v>
      </c>
      <c r="N863" t="str">
        <f>VLOOKUP(E863, Sales_Reps!A:C, 3, FALSE)</f>
        <v>West</v>
      </c>
      <c r="O863">
        <f>VLOOKUP(D863, Products!A:D, 4, FALSE)</f>
        <v>1010</v>
      </c>
      <c r="P863">
        <f>IFERROR(VLOOKUP(C863, Customers!A:C, 3, FALSE), 0)</f>
        <v>56</v>
      </c>
      <c r="Q863">
        <f t="shared" si="13"/>
        <v>0.54298642533936647</v>
      </c>
    </row>
    <row r="864" spans="1:17" x14ac:dyDescent="0.3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  <c r="L864" t="str">
        <f>VLOOKUP(D864, Products!A:C, 3, FALSE)</f>
        <v>Sports</v>
      </c>
      <c r="M864" t="str">
        <f>IFERROR(VLOOKUP(C864, Customers!A:E, 5, FALSE), "Unknown")</f>
        <v>SMB</v>
      </c>
      <c r="N864" t="str">
        <f>VLOOKUP(E864, Sales_Reps!A:C, 3, FALSE)</f>
        <v>West</v>
      </c>
      <c r="O864">
        <f>VLOOKUP(D864, Products!A:D, 4, FALSE)</f>
        <v>1860</v>
      </c>
      <c r="P864">
        <f>IFERROR(VLOOKUP(C864, Customers!A:C, 3, FALSE), 0)</f>
        <v>39</v>
      </c>
      <c r="Q864">
        <f t="shared" si="13"/>
        <v>0.50793650793650791</v>
      </c>
    </row>
    <row r="865" spans="1:17" x14ac:dyDescent="0.3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  <c r="L865" t="str">
        <f>VLOOKUP(D865, Products!A:C, 3, FALSE)</f>
        <v>Electronics</v>
      </c>
      <c r="M865" t="str">
        <f>IFERROR(VLOOKUP(C865, Customers!A:E, 5, FALSE), "Unknown")</f>
        <v>Retail</v>
      </c>
      <c r="N865" t="str">
        <f>VLOOKUP(E865, Sales_Reps!A:C, 3, FALSE)</f>
        <v>North</v>
      </c>
      <c r="O865">
        <f>VLOOKUP(D865, Products!A:D, 4, FALSE)</f>
        <v>1149</v>
      </c>
      <c r="P865">
        <f>IFERROR(VLOOKUP(C865, Customers!A:C, 3, FALSE), 0)</f>
        <v>34</v>
      </c>
      <c r="Q865">
        <f t="shared" si="13"/>
        <v>0.56477272727272732</v>
      </c>
    </row>
    <row r="866" spans="1:17" x14ac:dyDescent="0.3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  <c r="L866" t="str">
        <f>VLOOKUP(D866, Products!A:C, 3, FALSE)</f>
        <v>Electronics</v>
      </c>
      <c r="M866" t="str">
        <f>IFERROR(VLOOKUP(C866, Customers!A:E, 5, FALSE), "Unknown")</f>
        <v>SMB</v>
      </c>
      <c r="N866" t="str">
        <f>VLOOKUP(E866, Sales_Reps!A:C, 3, FALSE)</f>
        <v>West</v>
      </c>
      <c r="O866">
        <f>VLOOKUP(D866, Products!A:D, 4, FALSE)</f>
        <v>128</v>
      </c>
      <c r="P866">
        <f>IFERROR(VLOOKUP(C866, Customers!A:C, 3, FALSE), 0)</f>
        <v>42</v>
      </c>
      <c r="Q866">
        <f t="shared" si="13"/>
        <v>0.57333333333333336</v>
      </c>
    </row>
    <row r="867" spans="1:17" x14ac:dyDescent="0.3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  <c r="L867" t="str">
        <f>VLOOKUP(D867, Products!A:C, 3, FALSE)</f>
        <v>Sports</v>
      </c>
      <c r="M867" t="str">
        <f>IFERROR(VLOOKUP(C867, Customers!A:E, 5, FALSE), "Unknown")</f>
        <v>SMB</v>
      </c>
      <c r="N867" t="str">
        <f>VLOOKUP(E867, Sales_Reps!A:C, 3, FALSE)</f>
        <v>South</v>
      </c>
      <c r="O867">
        <f>VLOOKUP(D867, Products!A:D, 4, FALSE)</f>
        <v>974</v>
      </c>
      <c r="P867">
        <f>IFERROR(VLOOKUP(C867, Customers!A:C, 3, FALSE), 0)</f>
        <v>43</v>
      </c>
      <c r="Q867">
        <f t="shared" si="13"/>
        <v>0.59416666666666662</v>
      </c>
    </row>
    <row r="868" spans="1:17" x14ac:dyDescent="0.3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  <c r="L868" t="str">
        <f>VLOOKUP(D868, Products!A:C, 3, FALSE)</f>
        <v>Home</v>
      </c>
      <c r="M868" t="str">
        <f>IFERROR(VLOOKUP(C868, Customers!A:E, 5, FALSE), "Unknown")</f>
        <v>Retail</v>
      </c>
      <c r="N868" t="str">
        <f>VLOOKUP(E868, Sales_Reps!A:C, 3, FALSE)</f>
        <v>West</v>
      </c>
      <c r="O868">
        <f>VLOOKUP(D868, Products!A:D, 4, FALSE)</f>
        <v>519</v>
      </c>
      <c r="P868">
        <f>IFERROR(VLOOKUP(C868, Customers!A:C, 3, FALSE), 0)</f>
        <v>29</v>
      </c>
      <c r="Q868">
        <f t="shared" si="13"/>
        <v>0.51944444444444449</v>
      </c>
    </row>
    <row r="869" spans="1:17" x14ac:dyDescent="0.3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  <c r="L869" t="str">
        <f>VLOOKUP(D869, Products!A:C, 3, FALSE)</f>
        <v>Home</v>
      </c>
      <c r="M869" t="str">
        <f>IFERROR(VLOOKUP(C869, Customers!A:E, 5, FALSE), "Unknown")</f>
        <v>Retail</v>
      </c>
      <c r="N869" t="str">
        <f>VLOOKUP(E869, Sales_Reps!A:C, 3, FALSE)</f>
        <v>North</v>
      </c>
      <c r="O869">
        <f>VLOOKUP(D869, Products!A:D, 4, FALSE)</f>
        <v>1556</v>
      </c>
      <c r="P869">
        <f>IFERROR(VLOOKUP(C869, Customers!A:C, 3, FALSE), 0)</f>
        <v>24</v>
      </c>
      <c r="Q869">
        <f t="shared" si="13"/>
        <v>0.52123076923076928</v>
      </c>
    </row>
    <row r="870" spans="1:17" x14ac:dyDescent="0.3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  <c r="L870" t="str">
        <f>VLOOKUP(D870, Products!A:C, 3, FALSE)</f>
        <v>Home</v>
      </c>
      <c r="M870" t="str">
        <f>IFERROR(VLOOKUP(C870, Customers!A:E, 5, FALSE), "Unknown")</f>
        <v>Corporate</v>
      </c>
      <c r="N870" t="str">
        <f>VLOOKUP(E870, Sales_Reps!A:C, 3, FALSE)</f>
        <v>East</v>
      </c>
      <c r="O870">
        <f>VLOOKUP(D870, Products!A:D, 4, FALSE)</f>
        <v>288</v>
      </c>
      <c r="P870">
        <f>IFERROR(VLOOKUP(C870, Customers!A:C, 3, FALSE), 0)</f>
        <v>42</v>
      </c>
      <c r="Q870">
        <f t="shared" si="13"/>
        <v>0.22162162162162163</v>
      </c>
    </row>
    <row r="871" spans="1:17" x14ac:dyDescent="0.3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  <c r="L871" t="str">
        <f>VLOOKUP(D871, Products!A:C, 3, FALSE)</f>
        <v>Home</v>
      </c>
      <c r="M871" t="str">
        <f>IFERROR(VLOOKUP(C871, Customers!A:E, 5, FALSE), "Unknown")</f>
        <v>Unknown</v>
      </c>
      <c r="N871" t="str">
        <f>VLOOKUP(E871, Sales_Reps!A:C, 3, FALSE)</f>
        <v>West</v>
      </c>
      <c r="O871">
        <f>VLOOKUP(D871, Products!A:D, 4, FALSE)</f>
        <v>2549</v>
      </c>
      <c r="P871">
        <f>IFERROR(VLOOKUP(C871, Customers!A:C, 3, FALSE), 0)</f>
        <v>0</v>
      </c>
      <c r="Q871">
        <f t="shared" si="13"/>
        <v>0.53570127504553733</v>
      </c>
    </row>
    <row r="872" spans="1:17" x14ac:dyDescent="0.3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  <c r="L872" t="str">
        <f>VLOOKUP(D872, Products!A:C, 3, FALSE)</f>
        <v>Electronics</v>
      </c>
      <c r="M872" t="str">
        <f>IFERROR(VLOOKUP(C872, Customers!A:E, 5, FALSE), "Unknown")</f>
        <v>Retail</v>
      </c>
      <c r="N872" t="str">
        <f>VLOOKUP(E872, Sales_Reps!A:C, 3, FALSE)</f>
        <v>West</v>
      </c>
      <c r="O872">
        <f>VLOOKUP(D872, Products!A:D, 4, FALSE)</f>
        <v>2865</v>
      </c>
      <c r="P872">
        <f>IFERROR(VLOOKUP(C872, Customers!A:C, 3, FALSE), 0)</f>
        <v>38</v>
      </c>
      <c r="Q872">
        <f t="shared" si="13"/>
        <v>0.27833753148614609</v>
      </c>
    </row>
    <row r="873" spans="1:17" x14ac:dyDescent="0.3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  <c r="L873" t="str">
        <f>VLOOKUP(D873, Products!A:C, 3, FALSE)</f>
        <v>Electronics</v>
      </c>
      <c r="M873" t="str">
        <f>IFERROR(VLOOKUP(C873, Customers!A:E, 5, FALSE), "Unknown")</f>
        <v>Retail</v>
      </c>
      <c r="N873" t="str">
        <f>VLOOKUP(E873, Sales_Reps!A:C, 3, FALSE)</f>
        <v>North</v>
      </c>
      <c r="O873">
        <f>VLOOKUP(D873, Products!A:D, 4, FALSE)</f>
        <v>517</v>
      </c>
      <c r="P873">
        <f>IFERROR(VLOOKUP(C873, Customers!A:C, 3, FALSE), 0)</f>
        <v>52</v>
      </c>
      <c r="Q873">
        <f t="shared" si="13"/>
        <v>0.57622950819672136</v>
      </c>
    </row>
    <row r="874" spans="1:17" x14ac:dyDescent="0.3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  <c r="L874" t="str">
        <f>VLOOKUP(D874, Products!A:C, 3, FALSE)</f>
        <v>Apparel</v>
      </c>
      <c r="M874" t="str">
        <f>IFERROR(VLOOKUP(C874, Customers!A:E, 5, FALSE), "Unknown")</f>
        <v>Retail</v>
      </c>
      <c r="N874" t="str">
        <f>VLOOKUP(E874, Sales_Reps!A:C, 3, FALSE)</f>
        <v>West</v>
      </c>
      <c r="O874">
        <f>VLOOKUP(D874, Products!A:D, 4, FALSE)</f>
        <v>1886</v>
      </c>
      <c r="P874">
        <f>IFERROR(VLOOKUP(C874, Customers!A:C, 3, FALSE), 0)</f>
        <v>64</v>
      </c>
      <c r="Q874">
        <f t="shared" si="13"/>
        <v>0.4031645569620253</v>
      </c>
    </row>
    <row r="875" spans="1:17" x14ac:dyDescent="0.3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  <c r="L875" t="str">
        <f>VLOOKUP(D875, Products!A:C, 3, FALSE)</f>
        <v>Electronics</v>
      </c>
      <c r="M875" t="str">
        <f>IFERROR(VLOOKUP(C875, Customers!A:E, 5, FALSE), "Unknown")</f>
        <v>Retail</v>
      </c>
      <c r="N875" t="str">
        <f>VLOOKUP(E875, Sales_Reps!A:C, 3, FALSE)</f>
        <v>North</v>
      </c>
      <c r="O875">
        <f>VLOOKUP(D875, Products!A:D, 4, FALSE)</f>
        <v>128</v>
      </c>
      <c r="P875">
        <f>IFERROR(VLOOKUP(C875, Customers!A:C, 3, FALSE), 0)</f>
        <v>44</v>
      </c>
      <c r="Q875">
        <f t="shared" si="13"/>
        <v>0.57333333333333336</v>
      </c>
    </row>
    <row r="876" spans="1:17" x14ac:dyDescent="0.3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  <c r="L876" t="str">
        <f>VLOOKUP(D876, Products!A:C, 3, FALSE)</f>
        <v>Beauty</v>
      </c>
      <c r="M876" t="str">
        <f>IFERROR(VLOOKUP(C876, Customers!A:E, 5, FALSE), "Unknown")</f>
        <v>SMB</v>
      </c>
      <c r="N876" t="str">
        <f>VLOOKUP(E876, Sales_Reps!A:C, 3, FALSE)</f>
        <v>West</v>
      </c>
      <c r="O876">
        <f>VLOOKUP(D876, Products!A:D, 4, FALSE)</f>
        <v>2420</v>
      </c>
      <c r="P876">
        <f>IFERROR(VLOOKUP(C876, Customers!A:C, 3, FALSE), 0)</f>
        <v>51</v>
      </c>
      <c r="Q876">
        <f t="shared" si="13"/>
        <v>0.29855072463768118</v>
      </c>
    </row>
    <row r="877" spans="1:17" x14ac:dyDescent="0.3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  <c r="L877" t="str">
        <f>VLOOKUP(D877, Products!A:C, 3, FALSE)</f>
        <v>Apparel</v>
      </c>
      <c r="M877" t="str">
        <f>IFERROR(VLOOKUP(C877, Customers!A:E, 5, FALSE), "Unknown")</f>
        <v>Retail</v>
      </c>
      <c r="N877" t="str">
        <f>VLOOKUP(E877, Sales_Reps!A:C, 3, FALSE)</f>
        <v>West</v>
      </c>
      <c r="O877">
        <f>VLOOKUP(D877, Products!A:D, 4, FALSE)</f>
        <v>2509</v>
      </c>
      <c r="P877">
        <f>IFERROR(VLOOKUP(C877, Customers!A:C, 3, FALSE), 0)</f>
        <v>38</v>
      </c>
      <c r="Q877">
        <f t="shared" si="13"/>
        <v>0.3069060773480663</v>
      </c>
    </row>
    <row r="878" spans="1:17" x14ac:dyDescent="0.3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  <c r="L878" t="str">
        <f>VLOOKUP(D878, Products!A:C, 3, FALSE)</f>
        <v>Grocery</v>
      </c>
      <c r="M878" t="str">
        <f>IFERROR(VLOOKUP(C878, Customers!A:E, 5, FALSE), "Unknown")</f>
        <v>Retail</v>
      </c>
      <c r="N878" t="str">
        <f>VLOOKUP(E878, Sales_Reps!A:C, 3, FALSE)</f>
        <v>South</v>
      </c>
      <c r="O878">
        <f>VLOOKUP(D878, Products!A:D, 4, FALSE)</f>
        <v>1203</v>
      </c>
      <c r="P878">
        <f>IFERROR(VLOOKUP(C878, Customers!A:C, 3, FALSE), 0)</f>
        <v>36</v>
      </c>
      <c r="Q878">
        <f t="shared" si="13"/>
        <v>0.47004405286343615</v>
      </c>
    </row>
    <row r="879" spans="1:17" x14ac:dyDescent="0.3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  <c r="L879" t="str">
        <f>VLOOKUP(D879, Products!A:C, 3, FALSE)</f>
        <v>Apparel</v>
      </c>
      <c r="M879" t="str">
        <f>IFERROR(VLOOKUP(C879, Customers!A:E, 5, FALSE), "Unknown")</f>
        <v>Corporate</v>
      </c>
      <c r="N879" t="str">
        <f>VLOOKUP(E879, Sales_Reps!A:C, 3, FALSE)</f>
        <v>West</v>
      </c>
      <c r="O879">
        <f>VLOOKUP(D879, Products!A:D, 4, FALSE)</f>
        <v>1962</v>
      </c>
      <c r="P879">
        <f>IFERROR(VLOOKUP(C879, Customers!A:C, 3, FALSE), 0)</f>
        <v>42</v>
      </c>
      <c r="Q879">
        <f t="shared" si="13"/>
        <v>0.2786764705882353</v>
      </c>
    </row>
    <row r="880" spans="1:17" x14ac:dyDescent="0.3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  <c r="L880" t="str">
        <f>VLOOKUP(D880, Products!A:C, 3, FALSE)</f>
        <v>Grocery</v>
      </c>
      <c r="M880" t="str">
        <f>IFERROR(VLOOKUP(C880, Customers!A:E, 5, FALSE), "Unknown")</f>
        <v>Retail</v>
      </c>
      <c r="N880" t="str">
        <f>VLOOKUP(E880, Sales_Reps!A:C, 3, FALSE)</f>
        <v>East</v>
      </c>
      <c r="O880">
        <f>VLOOKUP(D880, Products!A:D, 4, FALSE)</f>
        <v>2436</v>
      </c>
      <c r="P880">
        <f>IFERROR(VLOOKUP(C880, Customers!A:C, 3, FALSE), 0)</f>
        <v>31</v>
      </c>
      <c r="Q880">
        <f t="shared" si="13"/>
        <v>0.35555555555555557</v>
      </c>
    </row>
    <row r="881" spans="1:17" x14ac:dyDescent="0.3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  <c r="L881" t="str">
        <f>VLOOKUP(D881, Products!A:C, 3, FALSE)</f>
        <v>Grocery</v>
      </c>
      <c r="M881" t="str">
        <f>IFERROR(VLOOKUP(C881, Customers!A:E, 5, FALSE), "Unknown")</f>
        <v>Retail</v>
      </c>
      <c r="N881" t="str">
        <f>VLOOKUP(E881, Sales_Reps!A:C, 3, FALSE)</f>
        <v>South</v>
      </c>
      <c r="O881">
        <f>VLOOKUP(D881, Products!A:D, 4, FALSE)</f>
        <v>2911</v>
      </c>
      <c r="P881">
        <f>IFERROR(VLOOKUP(C881, Customers!A:C, 3, FALSE), 0)</f>
        <v>34</v>
      </c>
      <c r="Q881">
        <f t="shared" si="13"/>
        <v>0.28300492610837441</v>
      </c>
    </row>
    <row r="882" spans="1:17" x14ac:dyDescent="0.3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  <c r="L882" t="str">
        <f>VLOOKUP(D882, Products!A:C, 3, FALSE)</f>
        <v>Grocery</v>
      </c>
      <c r="M882" t="str">
        <f>IFERROR(VLOOKUP(C882, Customers!A:E, 5, FALSE), "Unknown")</f>
        <v>Retail</v>
      </c>
      <c r="N882" t="str">
        <f>VLOOKUP(E882, Sales_Reps!A:C, 3, FALSE)</f>
        <v>South</v>
      </c>
      <c r="O882">
        <f>VLOOKUP(D882, Products!A:D, 4, FALSE)</f>
        <v>1435</v>
      </c>
      <c r="P882">
        <f>IFERROR(VLOOKUP(C882, Customers!A:C, 3, FALSE), 0)</f>
        <v>44</v>
      </c>
      <c r="Q882">
        <f t="shared" si="13"/>
        <v>0.48007246376811596</v>
      </c>
    </row>
    <row r="883" spans="1:17" x14ac:dyDescent="0.3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  <c r="L883" t="str">
        <f>VLOOKUP(D883, Products!A:C, 3, FALSE)</f>
        <v>Home</v>
      </c>
      <c r="M883" t="str">
        <f>IFERROR(VLOOKUP(C883, Customers!A:E, 5, FALSE), "Unknown")</f>
        <v>Retail</v>
      </c>
      <c r="N883" t="str">
        <f>VLOOKUP(E883, Sales_Reps!A:C, 3, FALSE)</f>
        <v>East</v>
      </c>
      <c r="O883">
        <f>VLOOKUP(D883, Products!A:D, 4, FALSE)</f>
        <v>519</v>
      </c>
      <c r="P883">
        <f>IFERROR(VLOOKUP(C883, Customers!A:C, 3, FALSE), 0)</f>
        <v>37</v>
      </c>
      <c r="Q883">
        <f t="shared" si="13"/>
        <v>0.51944444444444449</v>
      </c>
    </row>
    <row r="884" spans="1:17" x14ac:dyDescent="0.3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  <c r="L884" t="str">
        <f>VLOOKUP(D884, Products!A:C, 3, FALSE)</f>
        <v>Home</v>
      </c>
      <c r="M884" t="str">
        <f>IFERROR(VLOOKUP(C884, Customers!A:E, 5, FALSE), "Unknown")</f>
        <v>Corporate</v>
      </c>
      <c r="N884" t="str">
        <f>VLOOKUP(E884, Sales_Reps!A:C, 3, FALSE)</f>
        <v>East</v>
      </c>
      <c r="O884">
        <f>VLOOKUP(D884, Products!A:D, 4, FALSE)</f>
        <v>2459</v>
      </c>
      <c r="P884">
        <f>IFERROR(VLOOKUP(C884, Customers!A:C, 3, FALSE), 0)</f>
        <v>42</v>
      </c>
      <c r="Q884">
        <f t="shared" si="13"/>
        <v>0.51594488188976373</v>
      </c>
    </row>
    <row r="885" spans="1:17" x14ac:dyDescent="0.3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  <c r="L885" t="str">
        <f>VLOOKUP(D885, Products!A:C, 3, FALSE)</f>
        <v>Beauty</v>
      </c>
      <c r="M885" t="str">
        <f>IFERROR(VLOOKUP(C885, Customers!A:E, 5, FALSE), "Unknown")</f>
        <v>Retail</v>
      </c>
      <c r="N885" t="str">
        <f>VLOOKUP(E885, Sales_Reps!A:C, 3, FALSE)</f>
        <v>West</v>
      </c>
      <c r="O885">
        <f>VLOOKUP(D885, Products!A:D, 4, FALSE)</f>
        <v>2768</v>
      </c>
      <c r="P885">
        <f>IFERROR(VLOOKUP(C885, Customers!A:C, 3, FALSE), 0)</f>
        <v>56</v>
      </c>
      <c r="Q885">
        <f t="shared" si="13"/>
        <v>0.43278688524590164</v>
      </c>
    </row>
    <row r="886" spans="1:17" x14ac:dyDescent="0.3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  <c r="L886" t="str">
        <f>VLOOKUP(D886, Products!A:C, 3, FALSE)</f>
        <v>Grocery</v>
      </c>
      <c r="M886" t="str">
        <f>IFERROR(VLOOKUP(C886, Customers!A:E, 5, FALSE), "Unknown")</f>
        <v>SMB</v>
      </c>
      <c r="N886" t="str">
        <f>VLOOKUP(E886, Sales_Reps!A:C, 3, FALSE)</f>
        <v>West</v>
      </c>
      <c r="O886">
        <f>VLOOKUP(D886, Products!A:D, 4, FALSE)</f>
        <v>1412</v>
      </c>
      <c r="P886">
        <f>IFERROR(VLOOKUP(C886, Customers!A:C, 3, FALSE), 0)</f>
        <v>36</v>
      </c>
      <c r="Q886">
        <f t="shared" si="13"/>
        <v>0.37797356828193834</v>
      </c>
    </row>
    <row r="887" spans="1:17" x14ac:dyDescent="0.3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  <c r="L887" t="str">
        <f>VLOOKUP(D887, Products!A:C, 3, FALSE)</f>
        <v>Electronics</v>
      </c>
      <c r="M887" t="str">
        <f>IFERROR(VLOOKUP(C887, Customers!A:E, 5, FALSE), "Unknown")</f>
        <v>SMB</v>
      </c>
      <c r="N887" t="str">
        <f>VLOOKUP(E887, Sales_Reps!A:C, 3, FALSE)</f>
        <v>East</v>
      </c>
      <c r="O887">
        <f>VLOOKUP(D887, Products!A:D, 4, FALSE)</f>
        <v>2865</v>
      </c>
      <c r="P887">
        <f>IFERROR(VLOOKUP(C887, Customers!A:C, 3, FALSE), 0)</f>
        <v>55</v>
      </c>
      <c r="Q887">
        <f t="shared" si="13"/>
        <v>0.27833753148614609</v>
      </c>
    </row>
    <row r="888" spans="1:17" x14ac:dyDescent="0.3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  <c r="L888" t="str">
        <f>VLOOKUP(D888, Products!A:C, 3, FALSE)</f>
        <v>Beauty</v>
      </c>
      <c r="M888" t="str">
        <f>IFERROR(VLOOKUP(C888, Customers!A:E, 5, FALSE), "Unknown")</f>
        <v>Retail</v>
      </c>
      <c r="N888" t="str">
        <f>VLOOKUP(E888, Sales_Reps!A:C, 3, FALSE)</f>
        <v>North</v>
      </c>
      <c r="O888">
        <f>VLOOKUP(D888, Products!A:D, 4, FALSE)</f>
        <v>2237</v>
      </c>
      <c r="P888">
        <f>IFERROR(VLOOKUP(C888, Customers!A:C, 3, FALSE), 0)</f>
        <v>52</v>
      </c>
      <c r="Q888">
        <f t="shared" si="13"/>
        <v>0.56137254901960787</v>
      </c>
    </row>
    <row r="889" spans="1:17" x14ac:dyDescent="0.3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  <c r="L889" t="str">
        <f>VLOOKUP(D889, Products!A:C, 3, FALSE)</f>
        <v>Sports</v>
      </c>
      <c r="M889" t="str">
        <f>IFERROR(VLOOKUP(C889, Customers!A:E, 5, FALSE), "Unknown")</f>
        <v>SMB</v>
      </c>
      <c r="N889" t="str">
        <f>VLOOKUP(E889, Sales_Reps!A:C, 3, FALSE)</f>
        <v>North</v>
      </c>
      <c r="O889">
        <f>VLOOKUP(D889, Products!A:D, 4, FALSE)</f>
        <v>147</v>
      </c>
      <c r="P889">
        <f>IFERROR(VLOOKUP(C889, Customers!A:C, 3, FALSE), 0)</f>
        <v>29</v>
      </c>
      <c r="Q889">
        <f t="shared" si="13"/>
        <v>0.22631578947368422</v>
      </c>
    </row>
    <row r="890" spans="1:17" x14ac:dyDescent="0.3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  <c r="L890" t="str">
        <f>VLOOKUP(D890, Products!A:C, 3, FALSE)</f>
        <v>Beauty</v>
      </c>
      <c r="M890" t="str">
        <f>IFERROR(VLOOKUP(C890, Customers!A:E, 5, FALSE), "Unknown")</f>
        <v>Retail</v>
      </c>
      <c r="N890" t="str">
        <f>VLOOKUP(E890, Sales_Reps!A:C, 3, FALSE)</f>
        <v>West</v>
      </c>
      <c r="O890">
        <f>VLOOKUP(D890, Products!A:D, 4, FALSE)</f>
        <v>2617</v>
      </c>
      <c r="P890">
        <f>IFERROR(VLOOKUP(C890, Customers!A:C, 3, FALSE), 0)</f>
        <v>42</v>
      </c>
      <c r="Q890">
        <f t="shared" si="13"/>
        <v>0.56957236842105263</v>
      </c>
    </row>
    <row r="891" spans="1:17" x14ac:dyDescent="0.3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  <c r="L891" t="str">
        <f>VLOOKUP(D891, Products!A:C, 3, FALSE)</f>
        <v>Sports</v>
      </c>
      <c r="M891" t="str">
        <f>IFERROR(VLOOKUP(C891, Customers!A:E, 5, FALSE), "Unknown")</f>
        <v>Retail</v>
      </c>
      <c r="N891" t="str">
        <f>VLOOKUP(E891, Sales_Reps!A:C, 3, FALSE)</f>
        <v>East</v>
      </c>
      <c r="O891">
        <f>VLOOKUP(D891, Products!A:D, 4, FALSE)</f>
        <v>705</v>
      </c>
      <c r="P891">
        <f>IFERROR(VLOOKUP(C891, Customers!A:C, 3, FALSE), 0)</f>
        <v>39</v>
      </c>
      <c r="Q891">
        <f t="shared" si="13"/>
        <v>0.265625</v>
      </c>
    </row>
    <row r="892" spans="1:17" x14ac:dyDescent="0.3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  <c r="L892" t="str">
        <f>VLOOKUP(D892, Products!A:C, 3, FALSE)</f>
        <v>Beauty</v>
      </c>
      <c r="M892" t="str">
        <f>IFERROR(VLOOKUP(C892, Customers!A:E, 5, FALSE), "Unknown")</f>
        <v>SMB</v>
      </c>
      <c r="N892" t="str">
        <f>VLOOKUP(E892, Sales_Reps!A:C, 3, FALSE)</f>
        <v>North</v>
      </c>
      <c r="O892">
        <f>VLOOKUP(D892, Products!A:D, 4, FALSE)</f>
        <v>647</v>
      </c>
      <c r="P892">
        <f>IFERROR(VLOOKUP(C892, Customers!A:C, 3, FALSE), 0)</f>
        <v>48</v>
      </c>
      <c r="Q892">
        <f t="shared" si="13"/>
        <v>0.57987012987012987</v>
      </c>
    </row>
    <row r="893" spans="1:17" x14ac:dyDescent="0.3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  <c r="L893" t="str">
        <f>VLOOKUP(D893, Products!A:C, 3, FALSE)</f>
        <v>Electronics</v>
      </c>
      <c r="M893" t="str">
        <f>IFERROR(VLOOKUP(C893, Customers!A:E, 5, FALSE), "Unknown")</f>
        <v>Retail</v>
      </c>
      <c r="N893" t="str">
        <f>VLOOKUP(E893, Sales_Reps!A:C, 3, FALSE)</f>
        <v>South</v>
      </c>
      <c r="O893">
        <f>VLOOKUP(D893, Products!A:D, 4, FALSE)</f>
        <v>128</v>
      </c>
      <c r="P893">
        <f>IFERROR(VLOOKUP(C893, Customers!A:C, 3, FALSE), 0)</f>
        <v>54</v>
      </c>
      <c r="Q893">
        <f t="shared" si="13"/>
        <v>0.57333333333333336</v>
      </c>
    </row>
    <row r="894" spans="1:17" x14ac:dyDescent="0.3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  <c r="L894" t="str">
        <f>VLOOKUP(D894, Products!A:C, 3, FALSE)</f>
        <v>Beauty</v>
      </c>
      <c r="M894" t="str">
        <f>IFERROR(VLOOKUP(C894, Customers!A:E, 5, FALSE), "Unknown")</f>
        <v>SMB</v>
      </c>
      <c r="N894" t="str">
        <f>VLOOKUP(E894, Sales_Reps!A:C, 3, FALSE)</f>
        <v>South</v>
      </c>
      <c r="O894">
        <f>VLOOKUP(D894, Products!A:D, 4, FALSE)</f>
        <v>2768</v>
      </c>
      <c r="P894">
        <f>IFERROR(VLOOKUP(C894, Customers!A:C, 3, FALSE), 0)</f>
        <v>48</v>
      </c>
      <c r="Q894">
        <f t="shared" si="13"/>
        <v>0.43278688524590164</v>
      </c>
    </row>
    <row r="895" spans="1:17" x14ac:dyDescent="0.3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  <c r="L895" t="str">
        <f>VLOOKUP(D895, Products!A:C, 3, FALSE)</f>
        <v>Home</v>
      </c>
      <c r="M895" t="str">
        <f>IFERROR(VLOOKUP(C895, Customers!A:E, 5, FALSE), "Unknown")</f>
        <v>Retail</v>
      </c>
      <c r="N895" t="str">
        <f>VLOOKUP(E895, Sales_Reps!A:C, 3, FALSE)</f>
        <v>North</v>
      </c>
      <c r="O895">
        <f>VLOOKUP(D895, Products!A:D, 4, FALSE)</f>
        <v>288</v>
      </c>
      <c r="P895">
        <f>IFERROR(VLOOKUP(C895, Customers!A:C, 3, FALSE), 0)</f>
        <v>54</v>
      </c>
      <c r="Q895">
        <f t="shared" si="13"/>
        <v>0.22162162162162163</v>
      </c>
    </row>
    <row r="896" spans="1:17" x14ac:dyDescent="0.3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  <c r="L896" t="str">
        <f>VLOOKUP(D896, Products!A:C, 3, FALSE)</f>
        <v>Home</v>
      </c>
      <c r="M896" t="str">
        <f>IFERROR(VLOOKUP(C896, Customers!A:E, 5, FALSE), "Unknown")</f>
        <v>SMB</v>
      </c>
      <c r="N896" t="str">
        <f>VLOOKUP(E896, Sales_Reps!A:C, 3, FALSE)</f>
        <v>North</v>
      </c>
      <c r="O896">
        <f>VLOOKUP(D896, Products!A:D, 4, FALSE)</f>
        <v>1850</v>
      </c>
      <c r="P896">
        <f>IFERROR(VLOOKUP(C896, Customers!A:C, 3, FALSE), 0)</f>
        <v>44</v>
      </c>
      <c r="Q896">
        <f t="shared" si="13"/>
        <v>0.59869848156182215</v>
      </c>
    </row>
    <row r="897" spans="1:17" x14ac:dyDescent="0.3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  <c r="L897" t="str">
        <f>VLOOKUP(D897, Products!A:C, 3, FALSE)</f>
        <v>Electronics</v>
      </c>
      <c r="M897" t="str">
        <f>IFERROR(VLOOKUP(C897, Customers!A:E, 5, FALSE), "Unknown")</f>
        <v>Retail</v>
      </c>
      <c r="N897" t="str">
        <f>VLOOKUP(E897, Sales_Reps!A:C, 3, FALSE)</f>
        <v>South</v>
      </c>
      <c r="O897">
        <f>VLOOKUP(D897, Products!A:D, 4, FALSE)</f>
        <v>1052</v>
      </c>
      <c r="P897">
        <f>IFERROR(VLOOKUP(C897, Customers!A:C, 3, FALSE), 0)</f>
        <v>35</v>
      </c>
      <c r="Q897">
        <f t="shared" si="13"/>
        <v>0.5953846153846154</v>
      </c>
    </row>
    <row r="898" spans="1:17" x14ac:dyDescent="0.3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  <c r="L898" t="str">
        <f>VLOOKUP(D898, Products!A:C, 3, FALSE)</f>
        <v>Electronics</v>
      </c>
      <c r="M898" t="str">
        <f>IFERROR(VLOOKUP(C898, Customers!A:E, 5, FALSE), "Unknown")</f>
        <v>Retail</v>
      </c>
      <c r="N898" t="str">
        <f>VLOOKUP(E898, Sales_Reps!A:C, 3, FALSE)</f>
        <v>West</v>
      </c>
      <c r="O898">
        <f>VLOOKUP(D898, Products!A:D, 4, FALSE)</f>
        <v>517</v>
      </c>
      <c r="P898">
        <f>IFERROR(VLOOKUP(C898, Customers!A:C, 3, FALSE), 0)</f>
        <v>48</v>
      </c>
      <c r="Q898">
        <f t="shared" si="13"/>
        <v>0.57622950819672136</v>
      </c>
    </row>
    <row r="899" spans="1:17" x14ac:dyDescent="0.3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  <c r="L899" t="str">
        <f>VLOOKUP(D899, Products!A:C, 3, FALSE)</f>
        <v>Electronics</v>
      </c>
      <c r="M899" t="str">
        <f>IFERROR(VLOOKUP(C899, Customers!A:E, 5, FALSE), "Unknown")</f>
        <v>Unknown</v>
      </c>
      <c r="N899" t="str">
        <f>VLOOKUP(E899, Sales_Reps!A:C, 3, FALSE)</f>
        <v>South</v>
      </c>
      <c r="O899">
        <f>VLOOKUP(D899, Products!A:D, 4, FALSE)</f>
        <v>861</v>
      </c>
      <c r="P899">
        <f>IFERROR(VLOOKUP(C899, Customers!A:C, 3, FALSE), 0)</f>
        <v>0</v>
      </c>
      <c r="Q899">
        <f t="shared" ref="Q899:Q962" si="14">(G899 - O899) / G899</f>
        <v>0.39790209790209791</v>
      </c>
    </row>
    <row r="900" spans="1:17" x14ac:dyDescent="0.3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  <c r="L900" t="str">
        <f>VLOOKUP(D900, Products!A:C, 3, FALSE)</f>
        <v>Beauty</v>
      </c>
      <c r="M900" t="str">
        <f>IFERROR(VLOOKUP(C900, Customers!A:E, 5, FALSE), "Unknown")</f>
        <v>Retail</v>
      </c>
      <c r="N900" t="str">
        <f>VLOOKUP(E900, Sales_Reps!A:C, 3, FALSE)</f>
        <v>West</v>
      </c>
      <c r="O900">
        <f>VLOOKUP(D900, Products!A:D, 4, FALSE)</f>
        <v>2768</v>
      </c>
      <c r="P900">
        <f>IFERROR(VLOOKUP(C900, Customers!A:C, 3, FALSE), 0)</f>
        <v>41</v>
      </c>
      <c r="Q900">
        <f t="shared" si="14"/>
        <v>0.43278688524590164</v>
      </c>
    </row>
    <row r="901" spans="1:17" x14ac:dyDescent="0.3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  <c r="L901" t="str">
        <f>VLOOKUP(D901, Products!A:C, 3, FALSE)</f>
        <v>Beauty</v>
      </c>
      <c r="M901" t="str">
        <f>IFERROR(VLOOKUP(C901, Customers!A:E, 5, FALSE), "Unknown")</f>
        <v>SMB</v>
      </c>
      <c r="N901" t="str">
        <f>VLOOKUP(E901, Sales_Reps!A:C, 3, FALSE)</f>
        <v>West</v>
      </c>
      <c r="O901">
        <f>VLOOKUP(D901, Products!A:D, 4, FALSE)</f>
        <v>2617</v>
      </c>
      <c r="P901">
        <f>IFERROR(VLOOKUP(C901, Customers!A:C, 3, FALSE), 0)</f>
        <v>31</v>
      </c>
      <c r="Q901">
        <f t="shared" si="14"/>
        <v>0.56957236842105263</v>
      </c>
    </row>
    <row r="902" spans="1:17" x14ac:dyDescent="0.3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  <c r="L902" t="str">
        <f>VLOOKUP(D902, Products!A:C, 3, FALSE)</f>
        <v>Beauty</v>
      </c>
      <c r="M902" t="str">
        <f>IFERROR(VLOOKUP(C902, Customers!A:E, 5, FALSE), "Unknown")</f>
        <v>Corporate</v>
      </c>
      <c r="N902" t="str">
        <f>VLOOKUP(E902, Sales_Reps!A:C, 3, FALSE)</f>
        <v>South</v>
      </c>
      <c r="O902">
        <f>VLOOKUP(D902, Products!A:D, 4, FALSE)</f>
        <v>1626</v>
      </c>
      <c r="P902">
        <f>IFERROR(VLOOKUP(C902, Customers!A:C, 3, FALSE), 0)</f>
        <v>34</v>
      </c>
      <c r="Q902">
        <f t="shared" si="14"/>
        <v>0.46158940397350995</v>
      </c>
    </row>
    <row r="903" spans="1:17" x14ac:dyDescent="0.3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  <c r="L903" t="str">
        <f>VLOOKUP(D903, Products!A:C, 3, FALSE)</f>
        <v>Apparel</v>
      </c>
      <c r="M903" t="str">
        <f>IFERROR(VLOOKUP(C903, Customers!A:E, 5, FALSE), "Unknown")</f>
        <v>Corporate</v>
      </c>
      <c r="N903" t="str">
        <f>VLOOKUP(E903, Sales_Reps!A:C, 3, FALSE)</f>
        <v>South</v>
      </c>
      <c r="O903">
        <f>VLOOKUP(D903, Products!A:D, 4, FALSE)</f>
        <v>1962</v>
      </c>
      <c r="P903">
        <f>IFERROR(VLOOKUP(C903, Customers!A:C, 3, FALSE), 0)</f>
        <v>59</v>
      </c>
      <c r="Q903">
        <f t="shared" si="14"/>
        <v>0.2786764705882353</v>
      </c>
    </row>
    <row r="904" spans="1:17" x14ac:dyDescent="0.3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  <c r="L904" t="str">
        <f>VLOOKUP(D904, Products!A:C, 3, FALSE)</f>
        <v>Electronics</v>
      </c>
      <c r="M904" t="str">
        <f>IFERROR(VLOOKUP(C904, Customers!A:E, 5, FALSE), "Unknown")</f>
        <v>SMB</v>
      </c>
      <c r="N904" t="str">
        <f>VLOOKUP(E904, Sales_Reps!A:C, 3, FALSE)</f>
        <v>West</v>
      </c>
      <c r="O904">
        <f>VLOOKUP(D904, Products!A:D, 4, FALSE)</f>
        <v>1665</v>
      </c>
      <c r="P904">
        <f>IFERROR(VLOOKUP(C904, Customers!A:C, 3, FALSE), 0)</f>
        <v>55</v>
      </c>
      <c r="Q904">
        <f t="shared" si="14"/>
        <v>0.53361344537815125</v>
      </c>
    </row>
    <row r="905" spans="1:17" x14ac:dyDescent="0.3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  <c r="L905" t="str">
        <f>VLOOKUP(D905, Products!A:C, 3, FALSE)</f>
        <v>Home</v>
      </c>
      <c r="M905" t="str">
        <f>IFERROR(VLOOKUP(C905, Customers!A:E, 5, FALSE), "Unknown")</f>
        <v>SMB</v>
      </c>
      <c r="N905" t="str">
        <f>VLOOKUP(E905, Sales_Reps!A:C, 3, FALSE)</f>
        <v>South</v>
      </c>
      <c r="O905">
        <f>VLOOKUP(D905, Products!A:D, 4, FALSE)</f>
        <v>519</v>
      </c>
      <c r="P905">
        <f>IFERROR(VLOOKUP(C905, Customers!A:C, 3, FALSE), 0)</f>
        <v>47</v>
      </c>
      <c r="Q905">
        <f t="shared" si="14"/>
        <v>0.51944444444444449</v>
      </c>
    </row>
    <row r="906" spans="1:17" x14ac:dyDescent="0.3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  <c r="L906" t="str">
        <f>VLOOKUP(D906, Products!A:C, 3, FALSE)</f>
        <v>Home</v>
      </c>
      <c r="M906" t="str">
        <f>IFERROR(VLOOKUP(C906, Customers!A:E, 5, FALSE), "Unknown")</f>
        <v>Retail</v>
      </c>
      <c r="N906" t="str">
        <f>VLOOKUP(E906, Sales_Reps!A:C, 3, FALSE)</f>
        <v>South</v>
      </c>
      <c r="O906">
        <f>VLOOKUP(D906, Products!A:D, 4, FALSE)</f>
        <v>464</v>
      </c>
      <c r="P906">
        <f>IFERROR(VLOOKUP(C906, Customers!A:C, 3, FALSE), 0)</f>
        <v>37</v>
      </c>
      <c r="Q906">
        <f t="shared" si="14"/>
        <v>0.57431192660550456</v>
      </c>
    </row>
    <row r="907" spans="1:17" x14ac:dyDescent="0.3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  <c r="L907" t="str">
        <f>VLOOKUP(D907, Products!A:C, 3, FALSE)</f>
        <v>Apparel</v>
      </c>
      <c r="M907" t="str">
        <f>IFERROR(VLOOKUP(C907, Customers!A:E, 5, FALSE), "Unknown")</f>
        <v>SMB</v>
      </c>
      <c r="N907" t="str">
        <f>VLOOKUP(E907, Sales_Reps!A:C, 3, FALSE)</f>
        <v>West</v>
      </c>
      <c r="O907">
        <f>VLOOKUP(D907, Products!A:D, 4, FALSE)</f>
        <v>2629</v>
      </c>
      <c r="P907">
        <f>IFERROR(VLOOKUP(C907, Customers!A:C, 3, FALSE), 0)</f>
        <v>51</v>
      </c>
      <c r="Q907">
        <f t="shared" si="14"/>
        <v>0.26151685393258428</v>
      </c>
    </row>
    <row r="908" spans="1:17" x14ac:dyDescent="0.3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  <c r="L908" t="str">
        <f>VLOOKUP(D908, Products!A:C, 3, FALSE)</f>
        <v>Sports</v>
      </c>
      <c r="M908" t="str">
        <f>IFERROR(VLOOKUP(C908, Customers!A:E, 5, FALSE), "Unknown")</f>
        <v>SMB</v>
      </c>
      <c r="N908" t="str">
        <f>VLOOKUP(E908, Sales_Reps!A:C, 3, FALSE)</f>
        <v>East</v>
      </c>
      <c r="O908">
        <f>VLOOKUP(D908, Products!A:D, 4, FALSE)</f>
        <v>147</v>
      </c>
      <c r="P908">
        <f>IFERROR(VLOOKUP(C908, Customers!A:C, 3, FALSE), 0)</f>
        <v>54</v>
      </c>
      <c r="Q908">
        <f t="shared" si="14"/>
        <v>0.22631578947368422</v>
      </c>
    </row>
    <row r="909" spans="1:17" x14ac:dyDescent="0.3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  <c r="L909" t="str">
        <f>VLOOKUP(D909, Products!A:C, 3, FALSE)</f>
        <v>Grocery</v>
      </c>
      <c r="M909" t="str">
        <f>IFERROR(VLOOKUP(C909, Customers!A:E, 5, FALSE), "Unknown")</f>
        <v>Retail</v>
      </c>
      <c r="N909" t="str">
        <f>VLOOKUP(E909, Sales_Reps!A:C, 3, FALSE)</f>
        <v>West</v>
      </c>
      <c r="O909">
        <f>VLOOKUP(D909, Products!A:D, 4, FALSE)</f>
        <v>2911</v>
      </c>
      <c r="P909">
        <f>IFERROR(VLOOKUP(C909, Customers!A:C, 3, FALSE), 0)</f>
        <v>24</v>
      </c>
      <c r="Q909">
        <f t="shared" si="14"/>
        <v>0.28300492610837441</v>
      </c>
    </row>
    <row r="910" spans="1:17" x14ac:dyDescent="0.3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  <c r="L910" t="str">
        <f>VLOOKUP(D910, Products!A:C, 3, FALSE)</f>
        <v>Home</v>
      </c>
      <c r="M910" t="str">
        <f>IFERROR(VLOOKUP(C910, Customers!A:E, 5, FALSE), "Unknown")</f>
        <v>Corporate</v>
      </c>
      <c r="N910" t="str">
        <f>VLOOKUP(E910, Sales_Reps!A:C, 3, FALSE)</f>
        <v>East</v>
      </c>
      <c r="O910">
        <f>VLOOKUP(D910, Products!A:D, 4, FALSE)</f>
        <v>1850</v>
      </c>
      <c r="P910">
        <f>IFERROR(VLOOKUP(C910, Customers!A:C, 3, FALSE), 0)</f>
        <v>40</v>
      </c>
      <c r="Q910">
        <f t="shared" si="14"/>
        <v>0.59869848156182215</v>
      </c>
    </row>
    <row r="911" spans="1:17" x14ac:dyDescent="0.3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  <c r="L911" t="str">
        <f>VLOOKUP(D911, Products!A:C, 3, FALSE)</f>
        <v>Grocery</v>
      </c>
      <c r="M911" t="str">
        <f>IFERROR(VLOOKUP(C911, Customers!A:E, 5, FALSE), "Unknown")</f>
        <v>Corporate</v>
      </c>
      <c r="N911" t="str">
        <f>VLOOKUP(E911, Sales_Reps!A:C, 3, FALSE)</f>
        <v>East</v>
      </c>
      <c r="O911">
        <f>VLOOKUP(D911, Products!A:D, 4, FALSE)</f>
        <v>2027</v>
      </c>
      <c r="P911">
        <f>IFERROR(VLOOKUP(C911, Customers!A:C, 3, FALSE), 0)</f>
        <v>22</v>
      </c>
      <c r="Q911">
        <f t="shared" si="14"/>
        <v>0.50196560196560192</v>
      </c>
    </row>
    <row r="912" spans="1:17" x14ac:dyDescent="0.3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  <c r="L912" t="str">
        <f>VLOOKUP(D912, Products!A:C, 3, FALSE)</f>
        <v>Apparel</v>
      </c>
      <c r="M912" t="str">
        <f>IFERROR(VLOOKUP(C912, Customers!A:E, 5, FALSE), "Unknown")</f>
        <v>Retail</v>
      </c>
      <c r="N912" t="str">
        <f>VLOOKUP(E912, Sales_Reps!A:C, 3, FALSE)</f>
        <v>North</v>
      </c>
      <c r="O912">
        <f>VLOOKUP(D912, Products!A:D, 4, FALSE)</f>
        <v>2509</v>
      </c>
      <c r="P912">
        <f>IFERROR(VLOOKUP(C912, Customers!A:C, 3, FALSE), 0)</f>
        <v>27</v>
      </c>
      <c r="Q912">
        <f t="shared" si="14"/>
        <v>0.3069060773480663</v>
      </c>
    </row>
    <row r="913" spans="1:17" x14ac:dyDescent="0.3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  <c r="L913" t="str">
        <f>VLOOKUP(D913, Products!A:C, 3, FALSE)</f>
        <v>Electronics</v>
      </c>
      <c r="M913" t="str">
        <f>IFERROR(VLOOKUP(C913, Customers!A:E, 5, FALSE), "Unknown")</f>
        <v>SMB</v>
      </c>
      <c r="N913" t="str">
        <f>VLOOKUP(E913, Sales_Reps!A:C, 3, FALSE)</f>
        <v>West</v>
      </c>
      <c r="O913">
        <f>VLOOKUP(D913, Products!A:D, 4, FALSE)</f>
        <v>2865</v>
      </c>
      <c r="P913">
        <f>IFERROR(VLOOKUP(C913, Customers!A:C, 3, FALSE), 0)</f>
        <v>57</v>
      </c>
      <c r="Q913">
        <f t="shared" si="14"/>
        <v>0.27833753148614609</v>
      </c>
    </row>
    <row r="914" spans="1:17" x14ac:dyDescent="0.3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  <c r="L914" t="str">
        <f>VLOOKUP(D914, Products!A:C, 3, FALSE)</f>
        <v>Grocery</v>
      </c>
      <c r="M914" t="str">
        <f>IFERROR(VLOOKUP(C914, Customers!A:E, 5, FALSE), "Unknown")</f>
        <v>Corporate</v>
      </c>
      <c r="N914" t="str">
        <f>VLOOKUP(E914, Sales_Reps!A:C, 3, FALSE)</f>
        <v>West</v>
      </c>
      <c r="O914">
        <f>VLOOKUP(D914, Products!A:D, 4, FALSE)</f>
        <v>434</v>
      </c>
      <c r="P914">
        <f>IFERROR(VLOOKUP(C914, Customers!A:C, 3, FALSE), 0)</f>
        <v>42</v>
      </c>
      <c r="Q914">
        <f t="shared" si="14"/>
        <v>0.5525773195876289</v>
      </c>
    </row>
    <row r="915" spans="1:17" x14ac:dyDescent="0.3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  <c r="L915" t="str">
        <f>VLOOKUP(D915, Products!A:C, 3, FALSE)</f>
        <v>Sports</v>
      </c>
      <c r="M915" t="str">
        <f>IFERROR(VLOOKUP(C915, Customers!A:E, 5, FALSE), "Unknown")</f>
        <v>Retail</v>
      </c>
      <c r="N915" t="str">
        <f>VLOOKUP(E915, Sales_Reps!A:C, 3, FALSE)</f>
        <v>East</v>
      </c>
      <c r="O915">
        <f>VLOOKUP(D915, Products!A:D, 4, FALSE)</f>
        <v>705</v>
      </c>
      <c r="P915">
        <f>IFERROR(VLOOKUP(C915, Customers!A:C, 3, FALSE), 0)</f>
        <v>29</v>
      </c>
      <c r="Q915">
        <f t="shared" si="14"/>
        <v>0.265625</v>
      </c>
    </row>
    <row r="916" spans="1:17" x14ac:dyDescent="0.3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  <c r="L916" t="str">
        <f>VLOOKUP(D916, Products!A:C, 3, FALSE)</f>
        <v>Electronics</v>
      </c>
      <c r="M916" t="str">
        <f>IFERROR(VLOOKUP(C916, Customers!A:E, 5, FALSE), "Unknown")</f>
        <v>Retail</v>
      </c>
      <c r="N916" t="str">
        <f>VLOOKUP(E916, Sales_Reps!A:C, 3, FALSE)</f>
        <v>South</v>
      </c>
      <c r="O916">
        <f>VLOOKUP(D916, Products!A:D, 4, FALSE)</f>
        <v>128</v>
      </c>
      <c r="P916">
        <f>IFERROR(VLOOKUP(C916, Customers!A:C, 3, FALSE), 0)</f>
        <v>54</v>
      </c>
      <c r="Q916">
        <f t="shared" si="14"/>
        <v>0.57333333333333336</v>
      </c>
    </row>
    <row r="917" spans="1:17" x14ac:dyDescent="0.3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  <c r="L917" t="str">
        <f>VLOOKUP(D917, Products!A:C, 3, FALSE)</f>
        <v>Electronics</v>
      </c>
      <c r="M917" t="str">
        <f>IFERROR(VLOOKUP(C917, Customers!A:E, 5, FALSE), "Unknown")</f>
        <v>Retail</v>
      </c>
      <c r="N917" t="str">
        <f>VLOOKUP(E917, Sales_Reps!A:C, 3, FALSE)</f>
        <v>South</v>
      </c>
      <c r="O917">
        <f>VLOOKUP(D917, Products!A:D, 4, FALSE)</f>
        <v>1052</v>
      </c>
      <c r="P917">
        <f>IFERROR(VLOOKUP(C917, Customers!A:C, 3, FALSE), 0)</f>
        <v>46</v>
      </c>
      <c r="Q917">
        <f t="shared" si="14"/>
        <v>0.5953846153846154</v>
      </c>
    </row>
    <row r="918" spans="1:17" x14ac:dyDescent="0.3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  <c r="L918" t="str">
        <f>VLOOKUP(D918, Products!A:C, 3, FALSE)</f>
        <v>Home</v>
      </c>
      <c r="M918" t="str">
        <f>IFERROR(VLOOKUP(C918, Customers!A:E, 5, FALSE), "Unknown")</f>
        <v>Retail</v>
      </c>
      <c r="N918" t="str">
        <f>VLOOKUP(E918, Sales_Reps!A:C, 3, FALSE)</f>
        <v>North</v>
      </c>
      <c r="O918">
        <f>VLOOKUP(D918, Products!A:D, 4, FALSE)</f>
        <v>288</v>
      </c>
      <c r="P918">
        <f>IFERROR(VLOOKUP(C918, Customers!A:C, 3, FALSE), 0)</f>
        <v>49</v>
      </c>
      <c r="Q918">
        <f t="shared" si="14"/>
        <v>0.22162162162162163</v>
      </c>
    </row>
    <row r="919" spans="1:17" x14ac:dyDescent="0.3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  <c r="L919" t="str">
        <f>VLOOKUP(D919, Products!A:C, 3, FALSE)</f>
        <v>Beauty</v>
      </c>
      <c r="M919" t="str">
        <f>IFERROR(VLOOKUP(C919, Customers!A:E, 5, FALSE), "Unknown")</f>
        <v>Corporate</v>
      </c>
      <c r="N919" t="str">
        <f>VLOOKUP(E919, Sales_Reps!A:C, 3, FALSE)</f>
        <v>West</v>
      </c>
      <c r="O919">
        <f>VLOOKUP(D919, Products!A:D, 4, FALSE)</f>
        <v>2420</v>
      </c>
      <c r="P919">
        <f>IFERROR(VLOOKUP(C919, Customers!A:C, 3, FALSE), 0)</f>
        <v>55</v>
      </c>
      <c r="Q919">
        <f t="shared" si="14"/>
        <v>0.29855072463768118</v>
      </c>
    </row>
    <row r="920" spans="1:17" x14ac:dyDescent="0.3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  <c r="L920" t="str">
        <f>VLOOKUP(D920, Products!A:C, 3, FALSE)</f>
        <v>Apparel</v>
      </c>
      <c r="M920" t="str">
        <f>IFERROR(VLOOKUP(C920, Customers!A:E, 5, FALSE), "Unknown")</f>
        <v>SMB</v>
      </c>
      <c r="N920" t="str">
        <f>VLOOKUP(E920, Sales_Reps!A:C, 3, FALSE)</f>
        <v>East</v>
      </c>
      <c r="O920">
        <f>VLOOKUP(D920, Products!A:D, 4, FALSE)</f>
        <v>1173</v>
      </c>
      <c r="P920">
        <f>IFERROR(VLOOKUP(C920, Customers!A:C, 3, FALSE), 0)</f>
        <v>29</v>
      </c>
      <c r="Q920">
        <f t="shared" si="14"/>
        <v>0.52701612903225803</v>
      </c>
    </row>
    <row r="921" spans="1:17" x14ac:dyDescent="0.3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  <c r="L921" t="str">
        <f>VLOOKUP(D921, Products!A:C, 3, FALSE)</f>
        <v>Grocery</v>
      </c>
      <c r="M921" t="str">
        <f>IFERROR(VLOOKUP(C921, Customers!A:E, 5, FALSE), "Unknown")</f>
        <v>Corporate</v>
      </c>
      <c r="N921" t="str">
        <f>VLOOKUP(E921, Sales_Reps!A:C, 3, FALSE)</f>
        <v>East</v>
      </c>
      <c r="O921">
        <f>VLOOKUP(D921, Products!A:D, 4, FALSE)</f>
        <v>2214</v>
      </c>
      <c r="P921">
        <f>IFERROR(VLOOKUP(C921, Customers!A:C, 3, FALSE), 0)</f>
        <v>60</v>
      </c>
      <c r="Q921">
        <f t="shared" si="14"/>
        <v>0.39508196721311473</v>
      </c>
    </row>
    <row r="922" spans="1:17" x14ac:dyDescent="0.3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  <c r="L922" t="str">
        <f>VLOOKUP(D922, Products!A:C, 3, FALSE)</f>
        <v>Beauty</v>
      </c>
      <c r="M922" t="str">
        <f>IFERROR(VLOOKUP(C922, Customers!A:E, 5, FALSE), "Unknown")</f>
        <v>Retail</v>
      </c>
      <c r="N922" t="str">
        <f>VLOOKUP(E922, Sales_Reps!A:C, 3, FALSE)</f>
        <v>East</v>
      </c>
      <c r="O922">
        <f>VLOOKUP(D922, Products!A:D, 4, FALSE)</f>
        <v>1222</v>
      </c>
      <c r="P922">
        <f>IFERROR(VLOOKUP(C922, Customers!A:C, 3, FALSE), 0)</f>
        <v>26</v>
      </c>
      <c r="Q922">
        <f t="shared" si="14"/>
        <v>0.2593939393939394</v>
      </c>
    </row>
    <row r="923" spans="1:17" x14ac:dyDescent="0.3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  <c r="L923" t="str">
        <f>VLOOKUP(D923, Products!A:C, 3, FALSE)</f>
        <v>Sports</v>
      </c>
      <c r="M923" t="str">
        <f>IFERROR(VLOOKUP(C923, Customers!A:E, 5, FALSE), "Unknown")</f>
        <v>Corporate</v>
      </c>
      <c r="N923" t="str">
        <f>VLOOKUP(E923, Sales_Reps!A:C, 3, FALSE)</f>
        <v>West</v>
      </c>
      <c r="O923">
        <f>VLOOKUP(D923, Products!A:D, 4, FALSE)</f>
        <v>147</v>
      </c>
      <c r="P923">
        <f>IFERROR(VLOOKUP(C923, Customers!A:C, 3, FALSE), 0)</f>
        <v>56</v>
      </c>
      <c r="Q923">
        <f t="shared" si="14"/>
        <v>0.22631578947368422</v>
      </c>
    </row>
    <row r="924" spans="1:17" x14ac:dyDescent="0.3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  <c r="L924" t="str">
        <f>VLOOKUP(D924, Products!A:C, 3, FALSE)</f>
        <v>Grocery</v>
      </c>
      <c r="M924" t="str">
        <f>IFERROR(VLOOKUP(C924, Customers!A:E, 5, FALSE), "Unknown")</f>
        <v>Corporate</v>
      </c>
      <c r="N924" t="str">
        <f>VLOOKUP(E924, Sales_Reps!A:C, 3, FALSE)</f>
        <v>North</v>
      </c>
      <c r="O924">
        <f>VLOOKUP(D924, Products!A:D, 4, FALSE)</f>
        <v>1412</v>
      </c>
      <c r="P924">
        <f>IFERROR(VLOOKUP(C924, Customers!A:C, 3, FALSE), 0)</f>
        <v>40</v>
      </c>
      <c r="Q924">
        <f t="shared" si="14"/>
        <v>0.37797356828193834</v>
      </c>
    </row>
    <row r="925" spans="1:17" x14ac:dyDescent="0.3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  <c r="L925" t="str">
        <f>VLOOKUP(D925, Products!A:C, 3, FALSE)</f>
        <v>Grocery</v>
      </c>
      <c r="M925" t="str">
        <f>IFERROR(VLOOKUP(C925, Customers!A:E, 5, FALSE), "Unknown")</f>
        <v>Retail</v>
      </c>
      <c r="N925" t="str">
        <f>VLOOKUP(E925, Sales_Reps!A:C, 3, FALSE)</f>
        <v>South</v>
      </c>
      <c r="O925">
        <f>VLOOKUP(D925, Products!A:D, 4, FALSE)</f>
        <v>1203</v>
      </c>
      <c r="P925">
        <f>IFERROR(VLOOKUP(C925, Customers!A:C, 3, FALSE), 0)</f>
        <v>61</v>
      </c>
      <c r="Q925">
        <f t="shared" si="14"/>
        <v>0.47004405286343615</v>
      </c>
    </row>
    <row r="926" spans="1:17" x14ac:dyDescent="0.3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  <c r="L926" t="str">
        <f>VLOOKUP(D926, Products!A:C, 3, FALSE)</f>
        <v>Apparel</v>
      </c>
      <c r="M926" t="str">
        <f>IFERROR(VLOOKUP(C926, Customers!A:E, 5, FALSE), "Unknown")</f>
        <v>Retail</v>
      </c>
      <c r="N926" t="str">
        <f>VLOOKUP(E926, Sales_Reps!A:C, 3, FALSE)</f>
        <v>East</v>
      </c>
      <c r="O926">
        <f>VLOOKUP(D926, Products!A:D, 4, FALSE)</f>
        <v>1748</v>
      </c>
      <c r="P926">
        <f>IFERROR(VLOOKUP(C926, Customers!A:C, 3, FALSE), 0)</f>
        <v>52</v>
      </c>
      <c r="Q926">
        <f t="shared" si="14"/>
        <v>0.49333333333333335</v>
      </c>
    </row>
    <row r="927" spans="1:17" x14ac:dyDescent="0.3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  <c r="L927" t="str">
        <f>VLOOKUP(D927, Products!A:C, 3, FALSE)</f>
        <v>Beauty</v>
      </c>
      <c r="M927" t="str">
        <f>IFERROR(VLOOKUP(C927, Customers!A:E, 5, FALSE), "Unknown")</f>
        <v>Retail</v>
      </c>
      <c r="N927" t="str">
        <f>VLOOKUP(E927, Sales_Reps!A:C, 3, FALSE)</f>
        <v>West</v>
      </c>
      <c r="O927">
        <f>VLOOKUP(D927, Products!A:D, 4, FALSE)</f>
        <v>1626</v>
      </c>
      <c r="P927">
        <f>IFERROR(VLOOKUP(C927, Customers!A:C, 3, FALSE), 0)</f>
        <v>44</v>
      </c>
      <c r="Q927">
        <f t="shared" si="14"/>
        <v>0.46158940397350995</v>
      </c>
    </row>
    <row r="928" spans="1:17" x14ac:dyDescent="0.3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  <c r="L928" t="str">
        <f>VLOOKUP(D928, Products!A:C, 3, FALSE)</f>
        <v>Home</v>
      </c>
      <c r="M928" t="str">
        <f>IFERROR(VLOOKUP(C928, Customers!A:E, 5, FALSE), "Unknown")</f>
        <v>Retail</v>
      </c>
      <c r="N928" t="str">
        <f>VLOOKUP(E928, Sales_Reps!A:C, 3, FALSE)</f>
        <v>South</v>
      </c>
      <c r="O928">
        <f>VLOOKUP(D928, Products!A:D, 4, FALSE)</f>
        <v>1143</v>
      </c>
      <c r="P928">
        <f>IFERROR(VLOOKUP(C928, Customers!A:C, 3, FALSE), 0)</f>
        <v>47</v>
      </c>
      <c r="Q928">
        <f t="shared" si="14"/>
        <v>0.43694581280788175</v>
      </c>
    </row>
    <row r="929" spans="1:17" x14ac:dyDescent="0.3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  <c r="L929" t="str">
        <f>VLOOKUP(D929, Products!A:C, 3, FALSE)</f>
        <v>Apparel</v>
      </c>
      <c r="M929" t="str">
        <f>IFERROR(VLOOKUP(C929, Customers!A:E, 5, FALSE), "Unknown")</f>
        <v>Retail</v>
      </c>
      <c r="N929" t="str">
        <f>VLOOKUP(E929, Sales_Reps!A:C, 3, FALSE)</f>
        <v>South</v>
      </c>
      <c r="O929">
        <f>VLOOKUP(D929, Products!A:D, 4, FALSE)</f>
        <v>1748</v>
      </c>
      <c r="P929">
        <f>IFERROR(VLOOKUP(C929, Customers!A:C, 3, FALSE), 0)</f>
        <v>38</v>
      </c>
      <c r="Q929">
        <f t="shared" si="14"/>
        <v>0.49333333333333335</v>
      </c>
    </row>
    <row r="930" spans="1:17" x14ac:dyDescent="0.3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  <c r="L930" t="str">
        <f>VLOOKUP(D930, Products!A:C, 3, FALSE)</f>
        <v>Beauty</v>
      </c>
      <c r="M930" t="str">
        <f>IFERROR(VLOOKUP(C930, Customers!A:E, 5, FALSE), "Unknown")</f>
        <v>Retail</v>
      </c>
      <c r="N930" t="str">
        <f>VLOOKUP(E930, Sales_Reps!A:C, 3, FALSE)</f>
        <v>West</v>
      </c>
      <c r="O930">
        <f>VLOOKUP(D930, Products!A:D, 4, FALSE)</f>
        <v>675</v>
      </c>
      <c r="P930">
        <f>IFERROR(VLOOKUP(C930, Customers!A:C, 3, FALSE), 0)</f>
        <v>44</v>
      </c>
      <c r="Q930">
        <f t="shared" si="14"/>
        <v>0.296875</v>
      </c>
    </row>
    <row r="931" spans="1:17" x14ac:dyDescent="0.3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  <c r="L931" t="str">
        <f>VLOOKUP(D931, Products!A:C, 3, FALSE)</f>
        <v>Electronics</v>
      </c>
      <c r="M931" t="str">
        <f>IFERROR(VLOOKUP(C931, Customers!A:E, 5, FALSE), "Unknown")</f>
        <v>Retail</v>
      </c>
      <c r="N931" t="str">
        <f>VLOOKUP(E931, Sales_Reps!A:C, 3, FALSE)</f>
        <v>North</v>
      </c>
      <c r="O931">
        <f>VLOOKUP(D931, Products!A:D, 4, FALSE)</f>
        <v>2865</v>
      </c>
      <c r="P931">
        <f>IFERROR(VLOOKUP(C931, Customers!A:C, 3, FALSE), 0)</f>
        <v>52</v>
      </c>
      <c r="Q931">
        <f t="shared" si="14"/>
        <v>0.27833753148614609</v>
      </c>
    </row>
    <row r="932" spans="1:17" x14ac:dyDescent="0.3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  <c r="L932" t="str">
        <f>VLOOKUP(D932, Products!A:C, 3, FALSE)</f>
        <v>Sports</v>
      </c>
      <c r="M932" t="str">
        <f>IFERROR(VLOOKUP(C932, Customers!A:E, 5, FALSE), "Unknown")</f>
        <v>Corporate</v>
      </c>
      <c r="N932" t="str">
        <f>VLOOKUP(E932, Sales_Reps!A:C, 3, FALSE)</f>
        <v>West</v>
      </c>
      <c r="O932">
        <f>VLOOKUP(D932, Products!A:D, 4, FALSE)</f>
        <v>2265</v>
      </c>
      <c r="P932">
        <f>IFERROR(VLOOKUP(C932, Customers!A:C, 3, FALSE), 0)</f>
        <v>46</v>
      </c>
      <c r="Q932">
        <f t="shared" si="14"/>
        <v>0.58133086876155271</v>
      </c>
    </row>
    <row r="933" spans="1:17" x14ac:dyDescent="0.3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  <c r="L933" t="str">
        <f>VLOOKUP(D933, Products!A:C, 3, FALSE)</f>
        <v>Electronics</v>
      </c>
      <c r="M933" t="str">
        <f>IFERROR(VLOOKUP(C933, Customers!A:E, 5, FALSE), "Unknown")</f>
        <v>Corporate</v>
      </c>
      <c r="N933" t="str">
        <f>VLOOKUP(E933, Sales_Reps!A:C, 3, FALSE)</f>
        <v>North</v>
      </c>
      <c r="O933">
        <f>VLOOKUP(D933, Products!A:D, 4, FALSE)</f>
        <v>1665</v>
      </c>
      <c r="P933">
        <f>IFERROR(VLOOKUP(C933, Customers!A:C, 3, FALSE), 0)</f>
        <v>37</v>
      </c>
      <c r="Q933">
        <f t="shared" si="14"/>
        <v>0.53361344537815125</v>
      </c>
    </row>
    <row r="934" spans="1:17" x14ac:dyDescent="0.3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  <c r="L934" t="str">
        <f>VLOOKUP(D934, Products!A:C, 3, FALSE)</f>
        <v>Electronics</v>
      </c>
      <c r="M934" t="str">
        <f>IFERROR(VLOOKUP(C934, Customers!A:E, 5, FALSE), "Unknown")</f>
        <v>SMB</v>
      </c>
      <c r="N934" t="str">
        <f>VLOOKUP(E934, Sales_Reps!A:C, 3, FALSE)</f>
        <v>South</v>
      </c>
      <c r="O934">
        <f>VLOOKUP(D934, Products!A:D, 4, FALSE)</f>
        <v>1052</v>
      </c>
      <c r="P934">
        <f>IFERROR(VLOOKUP(C934, Customers!A:C, 3, FALSE), 0)</f>
        <v>54</v>
      </c>
      <c r="Q934">
        <f t="shared" si="14"/>
        <v>0.5953846153846154</v>
      </c>
    </row>
    <row r="935" spans="1:17" x14ac:dyDescent="0.3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  <c r="L935" t="str">
        <f>VLOOKUP(D935, Products!A:C, 3, FALSE)</f>
        <v>Sports</v>
      </c>
      <c r="M935" t="str">
        <f>IFERROR(VLOOKUP(C935, Customers!A:E, 5, FALSE), "Unknown")</f>
        <v>Corporate</v>
      </c>
      <c r="N935" t="str">
        <f>VLOOKUP(E935, Sales_Reps!A:C, 3, FALSE)</f>
        <v>West</v>
      </c>
      <c r="O935">
        <f>VLOOKUP(D935, Products!A:D, 4, FALSE)</f>
        <v>302</v>
      </c>
      <c r="P935">
        <f>IFERROR(VLOOKUP(C935, Customers!A:C, 3, FALSE), 0)</f>
        <v>55</v>
      </c>
      <c r="Q935">
        <f t="shared" si="14"/>
        <v>0.35744680851063831</v>
      </c>
    </row>
    <row r="936" spans="1:17" x14ac:dyDescent="0.3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  <c r="L936" t="str">
        <f>VLOOKUP(D936, Products!A:C, 3, FALSE)</f>
        <v>Sports</v>
      </c>
      <c r="M936" t="str">
        <f>IFERROR(VLOOKUP(C936, Customers!A:E, 5, FALSE), "Unknown")</f>
        <v>Retail</v>
      </c>
      <c r="N936" t="str">
        <f>VLOOKUP(E936, Sales_Reps!A:C, 3, FALSE)</f>
        <v>West</v>
      </c>
      <c r="O936">
        <f>VLOOKUP(D936, Products!A:D, 4, FALSE)</f>
        <v>302</v>
      </c>
      <c r="P936">
        <f>IFERROR(VLOOKUP(C936, Customers!A:C, 3, FALSE), 0)</f>
        <v>29</v>
      </c>
      <c r="Q936">
        <f t="shared" si="14"/>
        <v>0.35744680851063831</v>
      </c>
    </row>
    <row r="937" spans="1:17" x14ac:dyDescent="0.3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  <c r="L937" t="str">
        <f>VLOOKUP(D937, Products!A:C, 3, FALSE)</f>
        <v>Sports</v>
      </c>
      <c r="M937" t="str">
        <f>IFERROR(VLOOKUP(C937, Customers!A:E, 5, FALSE), "Unknown")</f>
        <v>SMB</v>
      </c>
      <c r="N937" t="str">
        <f>VLOOKUP(E937, Sales_Reps!A:C, 3, FALSE)</f>
        <v>North</v>
      </c>
      <c r="O937">
        <f>VLOOKUP(D937, Products!A:D, 4, FALSE)</f>
        <v>1860</v>
      </c>
      <c r="P937">
        <f>IFERROR(VLOOKUP(C937, Customers!A:C, 3, FALSE), 0)</f>
        <v>51</v>
      </c>
      <c r="Q937">
        <f t="shared" si="14"/>
        <v>0.50793650793650791</v>
      </c>
    </row>
    <row r="938" spans="1:17" x14ac:dyDescent="0.3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  <c r="L938" t="str">
        <f>VLOOKUP(D938, Products!A:C, 3, FALSE)</f>
        <v>Sports</v>
      </c>
      <c r="M938" t="str">
        <f>IFERROR(VLOOKUP(C938, Customers!A:E, 5, FALSE), "Unknown")</f>
        <v>Retail</v>
      </c>
      <c r="N938" t="str">
        <f>VLOOKUP(E938, Sales_Reps!A:C, 3, FALSE)</f>
        <v>East</v>
      </c>
      <c r="O938">
        <f>VLOOKUP(D938, Products!A:D, 4, FALSE)</f>
        <v>2827</v>
      </c>
      <c r="P938">
        <f>IFERROR(VLOOKUP(C938, Customers!A:C, 3, FALSE), 0)</f>
        <v>56</v>
      </c>
      <c r="Q938">
        <f t="shared" si="14"/>
        <v>0.5926512968299712</v>
      </c>
    </row>
    <row r="939" spans="1:17" x14ac:dyDescent="0.3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  <c r="L939" t="str">
        <f>VLOOKUP(D939, Products!A:C, 3, FALSE)</f>
        <v>Electronics</v>
      </c>
      <c r="M939" t="str">
        <f>IFERROR(VLOOKUP(C939, Customers!A:E, 5, FALSE), "Unknown")</f>
        <v>Retail</v>
      </c>
      <c r="N939" t="str">
        <f>VLOOKUP(E939, Sales_Reps!A:C, 3, FALSE)</f>
        <v>West</v>
      </c>
      <c r="O939">
        <f>VLOOKUP(D939, Products!A:D, 4, FALSE)</f>
        <v>1559</v>
      </c>
      <c r="P939">
        <f>IFERROR(VLOOKUP(C939, Customers!A:C, 3, FALSE), 0)</f>
        <v>22</v>
      </c>
      <c r="Q939">
        <f t="shared" si="14"/>
        <v>0.59715762273901807</v>
      </c>
    </row>
    <row r="940" spans="1:17" x14ac:dyDescent="0.3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  <c r="L940" t="str">
        <f>VLOOKUP(D940, Products!A:C, 3, FALSE)</f>
        <v>Sports</v>
      </c>
      <c r="M940" t="str">
        <f>IFERROR(VLOOKUP(C940, Customers!A:E, 5, FALSE), "Unknown")</f>
        <v>Corporate</v>
      </c>
      <c r="N940" t="str">
        <f>VLOOKUP(E940, Sales_Reps!A:C, 3, FALSE)</f>
        <v>South</v>
      </c>
      <c r="O940">
        <f>VLOOKUP(D940, Products!A:D, 4, FALSE)</f>
        <v>2265</v>
      </c>
      <c r="P940">
        <f>IFERROR(VLOOKUP(C940, Customers!A:C, 3, FALSE), 0)</f>
        <v>41</v>
      </c>
      <c r="Q940">
        <f t="shared" si="14"/>
        <v>0.58133086876155271</v>
      </c>
    </row>
    <row r="941" spans="1:17" x14ac:dyDescent="0.3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  <c r="L941" t="str">
        <f>VLOOKUP(D941, Products!A:C, 3, FALSE)</f>
        <v>Electronics</v>
      </c>
      <c r="M941" t="str">
        <f>IFERROR(VLOOKUP(C941, Customers!A:E, 5, FALSE), "Unknown")</f>
        <v>Corporate</v>
      </c>
      <c r="N941" t="str">
        <f>VLOOKUP(E941, Sales_Reps!A:C, 3, FALSE)</f>
        <v>West</v>
      </c>
      <c r="O941">
        <f>VLOOKUP(D941, Products!A:D, 4, FALSE)</f>
        <v>2865</v>
      </c>
      <c r="P941">
        <f>IFERROR(VLOOKUP(C941, Customers!A:C, 3, FALSE), 0)</f>
        <v>47</v>
      </c>
      <c r="Q941">
        <f t="shared" si="14"/>
        <v>0.27833753148614609</v>
      </c>
    </row>
    <row r="942" spans="1:17" x14ac:dyDescent="0.3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  <c r="L942" t="str">
        <f>VLOOKUP(D942, Products!A:C, 3, FALSE)</f>
        <v>Sports</v>
      </c>
      <c r="M942" t="str">
        <f>IFERROR(VLOOKUP(C942, Customers!A:E, 5, FALSE), "Unknown")</f>
        <v>Retail</v>
      </c>
      <c r="N942" t="str">
        <f>VLOOKUP(E942, Sales_Reps!A:C, 3, FALSE)</f>
        <v>North</v>
      </c>
      <c r="O942">
        <f>VLOOKUP(D942, Products!A:D, 4, FALSE)</f>
        <v>2827</v>
      </c>
      <c r="P942">
        <f>IFERROR(VLOOKUP(C942, Customers!A:C, 3, FALSE), 0)</f>
        <v>53</v>
      </c>
      <c r="Q942">
        <f t="shared" si="14"/>
        <v>0.5926512968299712</v>
      </c>
    </row>
    <row r="943" spans="1:17" x14ac:dyDescent="0.3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  <c r="L943" t="str">
        <f>VLOOKUP(D943, Products!A:C, 3, FALSE)</f>
        <v>Apparel</v>
      </c>
      <c r="M943" t="str">
        <f>IFERROR(VLOOKUP(C943, Customers!A:E, 5, FALSE), "Unknown")</f>
        <v>Corporate</v>
      </c>
      <c r="N943" t="str">
        <f>VLOOKUP(E943, Sales_Reps!A:C, 3, FALSE)</f>
        <v>North</v>
      </c>
      <c r="O943">
        <f>VLOOKUP(D943, Products!A:D, 4, FALSE)</f>
        <v>1886</v>
      </c>
      <c r="P943">
        <f>IFERROR(VLOOKUP(C943, Customers!A:C, 3, FALSE), 0)</f>
        <v>55</v>
      </c>
      <c r="Q943">
        <f t="shared" si="14"/>
        <v>0.4031645569620253</v>
      </c>
    </row>
    <row r="944" spans="1:17" x14ac:dyDescent="0.3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  <c r="L944" t="str">
        <f>VLOOKUP(D944, Products!A:C, 3, FALSE)</f>
        <v>Apparel</v>
      </c>
      <c r="M944" t="str">
        <f>IFERROR(VLOOKUP(C944, Customers!A:E, 5, FALSE), "Unknown")</f>
        <v>Corporate</v>
      </c>
      <c r="N944" t="str">
        <f>VLOOKUP(E944, Sales_Reps!A:C, 3, FALSE)</f>
        <v>West</v>
      </c>
      <c r="O944">
        <f>VLOOKUP(D944, Products!A:D, 4, FALSE)</f>
        <v>391</v>
      </c>
      <c r="P944">
        <f>IFERROR(VLOOKUP(C944, Customers!A:C, 3, FALSE), 0)</f>
        <v>43</v>
      </c>
      <c r="Q944">
        <f t="shared" si="14"/>
        <v>0.52317073170731709</v>
      </c>
    </row>
    <row r="945" spans="1:17" x14ac:dyDescent="0.3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  <c r="L945" t="str">
        <f>VLOOKUP(D945, Products!A:C, 3, FALSE)</f>
        <v>Beauty</v>
      </c>
      <c r="M945" t="str">
        <f>IFERROR(VLOOKUP(C945, Customers!A:E, 5, FALSE), "Unknown")</f>
        <v>SMB</v>
      </c>
      <c r="N945" t="str">
        <f>VLOOKUP(E945, Sales_Reps!A:C, 3, FALSE)</f>
        <v>West</v>
      </c>
      <c r="O945">
        <f>VLOOKUP(D945, Products!A:D, 4, FALSE)</f>
        <v>647</v>
      </c>
      <c r="P945">
        <f>IFERROR(VLOOKUP(C945, Customers!A:C, 3, FALSE), 0)</f>
        <v>34</v>
      </c>
      <c r="Q945">
        <f t="shared" si="14"/>
        <v>0.57987012987012987</v>
      </c>
    </row>
    <row r="946" spans="1:17" x14ac:dyDescent="0.3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  <c r="L946" t="str">
        <f>VLOOKUP(D946, Products!A:C, 3, FALSE)</f>
        <v>Electronics</v>
      </c>
      <c r="M946" t="str">
        <f>IFERROR(VLOOKUP(C946, Customers!A:E, 5, FALSE), "Unknown")</f>
        <v>Retail</v>
      </c>
      <c r="N946" t="str">
        <f>VLOOKUP(E946, Sales_Reps!A:C, 3, FALSE)</f>
        <v>North</v>
      </c>
      <c r="O946">
        <f>VLOOKUP(D946, Products!A:D, 4, FALSE)</f>
        <v>1559</v>
      </c>
      <c r="P946">
        <f>IFERROR(VLOOKUP(C946, Customers!A:C, 3, FALSE), 0)</f>
        <v>29</v>
      </c>
      <c r="Q946">
        <f t="shared" si="14"/>
        <v>0.59715762273901807</v>
      </c>
    </row>
    <row r="947" spans="1:17" x14ac:dyDescent="0.3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  <c r="L947" t="str">
        <f>VLOOKUP(D947, Products!A:C, 3, FALSE)</f>
        <v>Electronics</v>
      </c>
      <c r="M947" t="str">
        <f>IFERROR(VLOOKUP(C947, Customers!A:E, 5, FALSE), "Unknown")</f>
        <v>Retail</v>
      </c>
      <c r="N947" t="str">
        <f>VLOOKUP(E947, Sales_Reps!A:C, 3, FALSE)</f>
        <v>North</v>
      </c>
      <c r="O947">
        <f>VLOOKUP(D947, Products!A:D, 4, FALSE)</f>
        <v>1259</v>
      </c>
      <c r="P947">
        <f>IFERROR(VLOOKUP(C947, Customers!A:C, 3, FALSE), 0)</f>
        <v>50</v>
      </c>
      <c r="Q947">
        <f t="shared" si="14"/>
        <v>0.52669172932330832</v>
      </c>
    </row>
    <row r="948" spans="1:17" x14ac:dyDescent="0.3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  <c r="L948" t="str">
        <f>VLOOKUP(D948, Products!A:C, 3, FALSE)</f>
        <v>Electronics</v>
      </c>
      <c r="M948" t="str">
        <f>IFERROR(VLOOKUP(C948, Customers!A:E, 5, FALSE), "Unknown")</f>
        <v>SMB</v>
      </c>
      <c r="N948" t="str">
        <f>VLOOKUP(E948, Sales_Reps!A:C, 3, FALSE)</f>
        <v>South</v>
      </c>
      <c r="O948">
        <f>VLOOKUP(D948, Products!A:D, 4, FALSE)</f>
        <v>1665</v>
      </c>
      <c r="P948">
        <f>IFERROR(VLOOKUP(C948, Customers!A:C, 3, FALSE), 0)</f>
        <v>51</v>
      </c>
      <c r="Q948">
        <f t="shared" si="14"/>
        <v>0.53361344537815125</v>
      </c>
    </row>
    <row r="949" spans="1:17" x14ac:dyDescent="0.3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  <c r="L949" t="str">
        <f>VLOOKUP(D949, Products!A:C, 3, FALSE)</f>
        <v>Home</v>
      </c>
      <c r="M949" t="str">
        <f>IFERROR(VLOOKUP(C949, Customers!A:E, 5, FALSE), "Unknown")</f>
        <v>SMB</v>
      </c>
      <c r="N949" t="str">
        <f>VLOOKUP(E949, Sales_Reps!A:C, 3, FALSE)</f>
        <v>North</v>
      </c>
      <c r="O949">
        <f>VLOOKUP(D949, Products!A:D, 4, FALSE)</f>
        <v>1143</v>
      </c>
      <c r="P949">
        <f>IFERROR(VLOOKUP(C949, Customers!A:C, 3, FALSE), 0)</f>
        <v>52</v>
      </c>
      <c r="Q949">
        <f t="shared" si="14"/>
        <v>0.43694581280788175</v>
      </c>
    </row>
    <row r="950" spans="1:17" x14ac:dyDescent="0.3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  <c r="L950" t="str">
        <f>VLOOKUP(D950, Products!A:C, 3, FALSE)</f>
        <v>Apparel</v>
      </c>
      <c r="M950" t="str">
        <f>IFERROR(VLOOKUP(C950, Customers!A:E, 5, FALSE), "Unknown")</f>
        <v>Corporate</v>
      </c>
      <c r="N950" t="str">
        <f>VLOOKUP(E950, Sales_Reps!A:C, 3, FALSE)</f>
        <v>South</v>
      </c>
      <c r="O950">
        <f>VLOOKUP(D950, Products!A:D, 4, FALSE)</f>
        <v>1886</v>
      </c>
      <c r="P950">
        <f>IFERROR(VLOOKUP(C950, Customers!A:C, 3, FALSE), 0)</f>
        <v>43</v>
      </c>
      <c r="Q950">
        <f t="shared" si="14"/>
        <v>0.4031645569620253</v>
      </c>
    </row>
    <row r="951" spans="1:17" x14ac:dyDescent="0.3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  <c r="L951" t="str">
        <f>VLOOKUP(D951, Products!A:C, 3, FALSE)</f>
        <v>Home</v>
      </c>
      <c r="M951" t="str">
        <f>IFERROR(VLOOKUP(C951, Customers!A:E, 5, FALSE), "Unknown")</f>
        <v>SMB</v>
      </c>
      <c r="N951" t="str">
        <f>VLOOKUP(E951, Sales_Reps!A:C, 3, FALSE)</f>
        <v>South</v>
      </c>
      <c r="O951">
        <f>VLOOKUP(D951, Products!A:D, 4, FALSE)</f>
        <v>2459</v>
      </c>
      <c r="P951">
        <f>IFERROR(VLOOKUP(C951, Customers!A:C, 3, FALSE), 0)</f>
        <v>55</v>
      </c>
      <c r="Q951">
        <f t="shared" si="14"/>
        <v>0.51594488188976373</v>
      </c>
    </row>
    <row r="952" spans="1:17" x14ac:dyDescent="0.3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  <c r="L952" t="str">
        <f>VLOOKUP(D952, Products!A:C, 3, FALSE)</f>
        <v>Beauty</v>
      </c>
      <c r="M952" t="str">
        <f>IFERROR(VLOOKUP(C952, Customers!A:E, 5, FALSE), "Unknown")</f>
        <v>Corporate</v>
      </c>
      <c r="N952" t="str">
        <f>VLOOKUP(E952, Sales_Reps!A:C, 3, FALSE)</f>
        <v>South</v>
      </c>
      <c r="O952">
        <f>VLOOKUP(D952, Products!A:D, 4, FALSE)</f>
        <v>2420</v>
      </c>
      <c r="P952">
        <f>IFERROR(VLOOKUP(C952, Customers!A:C, 3, FALSE), 0)</f>
        <v>37</v>
      </c>
      <c r="Q952">
        <f t="shared" si="14"/>
        <v>0.29855072463768118</v>
      </c>
    </row>
    <row r="953" spans="1:17" x14ac:dyDescent="0.3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  <c r="L953" t="str">
        <f>VLOOKUP(D953, Products!A:C, 3, FALSE)</f>
        <v>Sports</v>
      </c>
      <c r="M953" t="str">
        <f>IFERROR(VLOOKUP(C953, Customers!A:E, 5, FALSE), "Unknown")</f>
        <v>Retail</v>
      </c>
      <c r="N953" t="str">
        <f>VLOOKUP(E953, Sales_Reps!A:C, 3, FALSE)</f>
        <v>South</v>
      </c>
      <c r="O953">
        <f>VLOOKUP(D953, Products!A:D, 4, FALSE)</f>
        <v>2467</v>
      </c>
      <c r="P953">
        <f>IFERROR(VLOOKUP(C953, Customers!A:C, 3, FALSE), 0)</f>
        <v>39</v>
      </c>
      <c r="Q953">
        <f t="shared" si="14"/>
        <v>0.28492753623188405</v>
      </c>
    </row>
    <row r="954" spans="1:17" x14ac:dyDescent="0.3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  <c r="L954" t="str">
        <f>VLOOKUP(D954, Products!A:C, 3, FALSE)</f>
        <v>Electronics</v>
      </c>
      <c r="M954" t="str">
        <f>IFERROR(VLOOKUP(C954, Customers!A:E, 5, FALSE), "Unknown")</f>
        <v>Retail</v>
      </c>
      <c r="N954" t="str">
        <f>VLOOKUP(E954, Sales_Reps!A:C, 3, FALSE)</f>
        <v>West</v>
      </c>
      <c r="O954">
        <f>VLOOKUP(D954, Products!A:D, 4, FALSE)</f>
        <v>2405</v>
      </c>
      <c r="P954">
        <f>IFERROR(VLOOKUP(C954, Customers!A:C, 3, FALSE), 0)</f>
        <v>26</v>
      </c>
      <c r="Q954">
        <f t="shared" si="14"/>
        <v>0.54878048780487809</v>
      </c>
    </row>
    <row r="955" spans="1:17" x14ac:dyDescent="0.3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  <c r="L955" t="str">
        <f>VLOOKUP(D955, Products!A:C, 3, FALSE)</f>
        <v>Grocery</v>
      </c>
      <c r="M955" t="str">
        <f>IFERROR(VLOOKUP(C955, Customers!A:E, 5, FALSE), "Unknown")</f>
        <v>Retail</v>
      </c>
      <c r="N955" t="str">
        <f>VLOOKUP(E955, Sales_Reps!A:C, 3, FALSE)</f>
        <v>North</v>
      </c>
      <c r="O955">
        <f>VLOOKUP(D955, Products!A:D, 4, FALSE)</f>
        <v>1010</v>
      </c>
      <c r="P955">
        <f>IFERROR(VLOOKUP(C955, Customers!A:C, 3, FALSE), 0)</f>
        <v>52</v>
      </c>
      <c r="Q955">
        <f t="shared" si="14"/>
        <v>0.54298642533936647</v>
      </c>
    </row>
    <row r="956" spans="1:17" x14ac:dyDescent="0.3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  <c r="L956" t="str">
        <f>VLOOKUP(D956, Products!A:C, 3, FALSE)</f>
        <v>Home</v>
      </c>
      <c r="M956" t="str">
        <f>IFERROR(VLOOKUP(C956, Customers!A:E, 5, FALSE), "Unknown")</f>
        <v>Retail</v>
      </c>
      <c r="N956" t="str">
        <f>VLOOKUP(E956, Sales_Reps!A:C, 3, FALSE)</f>
        <v>West</v>
      </c>
      <c r="O956">
        <f>VLOOKUP(D956, Products!A:D, 4, FALSE)</f>
        <v>519</v>
      </c>
      <c r="P956">
        <f>IFERROR(VLOOKUP(C956, Customers!A:C, 3, FALSE), 0)</f>
        <v>41</v>
      </c>
      <c r="Q956">
        <f t="shared" si="14"/>
        <v>0.51944444444444449</v>
      </c>
    </row>
    <row r="957" spans="1:17" x14ac:dyDescent="0.3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  <c r="L957" t="str">
        <f>VLOOKUP(D957, Products!A:C, 3, FALSE)</f>
        <v>Apparel</v>
      </c>
      <c r="M957" t="str">
        <f>IFERROR(VLOOKUP(C957, Customers!A:E, 5, FALSE), "Unknown")</f>
        <v>SMB</v>
      </c>
      <c r="N957" t="str">
        <f>VLOOKUP(E957, Sales_Reps!A:C, 3, FALSE)</f>
        <v>South</v>
      </c>
      <c r="O957">
        <f>VLOOKUP(D957, Products!A:D, 4, FALSE)</f>
        <v>2509</v>
      </c>
      <c r="P957">
        <f>IFERROR(VLOOKUP(C957, Customers!A:C, 3, FALSE), 0)</f>
        <v>44</v>
      </c>
      <c r="Q957">
        <f t="shared" si="14"/>
        <v>0.3069060773480663</v>
      </c>
    </row>
    <row r="958" spans="1:17" x14ac:dyDescent="0.3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  <c r="L958" t="str">
        <f>VLOOKUP(D958, Products!A:C, 3, FALSE)</f>
        <v>Apparel</v>
      </c>
      <c r="M958" t="str">
        <f>IFERROR(VLOOKUP(C958, Customers!A:E, 5, FALSE), "Unknown")</f>
        <v>Retail</v>
      </c>
      <c r="N958" t="str">
        <f>VLOOKUP(E958, Sales_Reps!A:C, 3, FALSE)</f>
        <v>South</v>
      </c>
      <c r="O958">
        <f>VLOOKUP(D958, Products!A:D, 4, FALSE)</f>
        <v>2629</v>
      </c>
      <c r="P958">
        <f>IFERROR(VLOOKUP(C958, Customers!A:C, 3, FALSE), 0)</f>
        <v>36</v>
      </c>
      <c r="Q958">
        <f t="shared" si="14"/>
        <v>0.26151685393258428</v>
      </c>
    </row>
    <row r="959" spans="1:17" x14ac:dyDescent="0.3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  <c r="L959" t="str">
        <f>VLOOKUP(D959, Products!A:C, 3, FALSE)</f>
        <v>Home</v>
      </c>
      <c r="M959" t="str">
        <f>IFERROR(VLOOKUP(C959, Customers!A:E, 5, FALSE), "Unknown")</f>
        <v>Retail</v>
      </c>
      <c r="N959" t="str">
        <f>VLOOKUP(E959, Sales_Reps!A:C, 3, FALSE)</f>
        <v>West</v>
      </c>
      <c r="O959">
        <f>VLOOKUP(D959, Products!A:D, 4, FALSE)</f>
        <v>1143</v>
      </c>
      <c r="P959">
        <f>IFERROR(VLOOKUP(C959, Customers!A:C, 3, FALSE), 0)</f>
        <v>41</v>
      </c>
      <c r="Q959">
        <f t="shared" si="14"/>
        <v>0.43694581280788175</v>
      </c>
    </row>
    <row r="960" spans="1:17" x14ac:dyDescent="0.3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  <c r="L960" t="str">
        <f>VLOOKUP(D960, Products!A:C, 3, FALSE)</f>
        <v>Beauty</v>
      </c>
      <c r="M960" t="str">
        <f>IFERROR(VLOOKUP(C960, Customers!A:E, 5, FALSE), "Unknown")</f>
        <v>SMB</v>
      </c>
      <c r="N960" t="str">
        <f>VLOOKUP(E960, Sales_Reps!A:C, 3, FALSE)</f>
        <v>South</v>
      </c>
      <c r="O960">
        <f>VLOOKUP(D960, Products!A:D, 4, FALSE)</f>
        <v>1222</v>
      </c>
      <c r="P960">
        <f>IFERROR(VLOOKUP(C960, Customers!A:C, 3, FALSE), 0)</f>
        <v>51</v>
      </c>
      <c r="Q960">
        <f t="shared" si="14"/>
        <v>0.2593939393939394</v>
      </c>
    </row>
    <row r="961" spans="1:17" x14ac:dyDescent="0.3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  <c r="L961" t="str">
        <f>VLOOKUP(D961, Products!A:C, 3, FALSE)</f>
        <v>Grocery</v>
      </c>
      <c r="M961" t="str">
        <f>IFERROR(VLOOKUP(C961, Customers!A:E, 5, FALSE), "Unknown")</f>
        <v>SMB</v>
      </c>
      <c r="N961" t="str">
        <f>VLOOKUP(E961, Sales_Reps!A:C, 3, FALSE)</f>
        <v>East</v>
      </c>
      <c r="O961">
        <f>VLOOKUP(D961, Products!A:D, 4, FALSE)</f>
        <v>1435</v>
      </c>
      <c r="P961">
        <f>IFERROR(VLOOKUP(C961, Customers!A:C, 3, FALSE), 0)</f>
        <v>65</v>
      </c>
      <c r="Q961">
        <f t="shared" si="14"/>
        <v>0.48007246376811596</v>
      </c>
    </row>
    <row r="962" spans="1:17" x14ac:dyDescent="0.3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  <c r="L962" t="str">
        <f>VLOOKUP(D962, Products!A:C, 3, FALSE)</f>
        <v>Electronics</v>
      </c>
      <c r="M962" t="str">
        <f>IFERROR(VLOOKUP(C962, Customers!A:E, 5, FALSE), "Unknown")</f>
        <v>Corporate</v>
      </c>
      <c r="N962" t="str">
        <f>VLOOKUP(E962, Sales_Reps!A:C, 3, FALSE)</f>
        <v>South</v>
      </c>
      <c r="O962">
        <f>VLOOKUP(D962, Products!A:D, 4, FALSE)</f>
        <v>2865</v>
      </c>
      <c r="P962">
        <f>IFERROR(VLOOKUP(C962, Customers!A:C, 3, FALSE), 0)</f>
        <v>47</v>
      </c>
      <c r="Q962">
        <f t="shared" si="14"/>
        <v>0.27833753148614609</v>
      </c>
    </row>
    <row r="963" spans="1:17" x14ac:dyDescent="0.3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  <c r="L963" t="str">
        <f>VLOOKUP(D963, Products!A:C, 3, FALSE)</f>
        <v>Beauty</v>
      </c>
      <c r="M963" t="str">
        <f>IFERROR(VLOOKUP(C963, Customers!A:E, 5, FALSE), "Unknown")</f>
        <v>SMB</v>
      </c>
      <c r="N963" t="str">
        <f>VLOOKUP(E963, Sales_Reps!A:C, 3, FALSE)</f>
        <v>South</v>
      </c>
      <c r="O963">
        <f>VLOOKUP(D963, Products!A:D, 4, FALSE)</f>
        <v>2617</v>
      </c>
      <c r="P963">
        <f>IFERROR(VLOOKUP(C963, Customers!A:C, 3, FALSE), 0)</f>
        <v>49</v>
      </c>
      <c r="Q963">
        <f t="shared" ref="Q963:Q1026" si="15">(G963 - O963) / G963</f>
        <v>0.56957236842105263</v>
      </c>
    </row>
    <row r="964" spans="1:17" x14ac:dyDescent="0.3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  <c r="L964" t="str">
        <f>VLOOKUP(D964, Products!A:C, 3, FALSE)</f>
        <v>Grocery</v>
      </c>
      <c r="M964" t="str">
        <f>IFERROR(VLOOKUP(C964, Customers!A:E, 5, FALSE), "Unknown")</f>
        <v>Retail</v>
      </c>
      <c r="N964" t="str">
        <f>VLOOKUP(E964, Sales_Reps!A:C, 3, FALSE)</f>
        <v>North</v>
      </c>
      <c r="O964">
        <f>VLOOKUP(D964, Products!A:D, 4, FALSE)</f>
        <v>1203</v>
      </c>
      <c r="P964">
        <f>IFERROR(VLOOKUP(C964, Customers!A:C, 3, FALSE), 0)</f>
        <v>43</v>
      </c>
      <c r="Q964">
        <f t="shared" si="15"/>
        <v>0.47004405286343615</v>
      </c>
    </row>
    <row r="965" spans="1:17" x14ac:dyDescent="0.3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  <c r="L965" t="str">
        <f>VLOOKUP(D965, Products!A:C, 3, FALSE)</f>
        <v>Electronics</v>
      </c>
      <c r="M965" t="str">
        <f>IFERROR(VLOOKUP(C965, Customers!A:E, 5, FALSE), "Unknown")</f>
        <v>Corporate</v>
      </c>
      <c r="N965" t="str">
        <f>VLOOKUP(E965, Sales_Reps!A:C, 3, FALSE)</f>
        <v>North</v>
      </c>
      <c r="O965">
        <f>VLOOKUP(D965, Products!A:D, 4, FALSE)</f>
        <v>2865</v>
      </c>
      <c r="P965">
        <f>IFERROR(VLOOKUP(C965, Customers!A:C, 3, FALSE), 0)</f>
        <v>47</v>
      </c>
      <c r="Q965">
        <f t="shared" si="15"/>
        <v>0.27833753148614609</v>
      </c>
    </row>
    <row r="966" spans="1:17" x14ac:dyDescent="0.3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  <c r="L966" t="str">
        <f>VLOOKUP(D966, Products!A:C, 3, FALSE)</f>
        <v>Beauty</v>
      </c>
      <c r="M966" t="str">
        <f>IFERROR(VLOOKUP(C966, Customers!A:E, 5, FALSE), "Unknown")</f>
        <v>Retail</v>
      </c>
      <c r="N966" t="str">
        <f>VLOOKUP(E966, Sales_Reps!A:C, 3, FALSE)</f>
        <v>South</v>
      </c>
      <c r="O966">
        <f>VLOOKUP(D966, Products!A:D, 4, FALSE)</f>
        <v>2237</v>
      </c>
      <c r="P966">
        <f>IFERROR(VLOOKUP(C966, Customers!A:C, 3, FALSE), 0)</f>
        <v>26</v>
      </c>
      <c r="Q966">
        <f t="shared" si="15"/>
        <v>0.56137254901960787</v>
      </c>
    </row>
    <row r="967" spans="1:17" x14ac:dyDescent="0.3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  <c r="L967" t="str">
        <f>VLOOKUP(D967, Products!A:C, 3, FALSE)</f>
        <v>Beauty</v>
      </c>
      <c r="M967" t="str">
        <f>IFERROR(VLOOKUP(C967, Customers!A:E, 5, FALSE), "Unknown")</f>
        <v>Corporate</v>
      </c>
      <c r="N967" t="str">
        <f>VLOOKUP(E967, Sales_Reps!A:C, 3, FALSE)</f>
        <v>West</v>
      </c>
      <c r="O967">
        <f>VLOOKUP(D967, Products!A:D, 4, FALSE)</f>
        <v>1626</v>
      </c>
      <c r="P967">
        <f>IFERROR(VLOOKUP(C967, Customers!A:C, 3, FALSE), 0)</f>
        <v>33</v>
      </c>
      <c r="Q967">
        <f t="shared" si="15"/>
        <v>0.46158940397350995</v>
      </c>
    </row>
    <row r="968" spans="1:17" x14ac:dyDescent="0.3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  <c r="L968" t="str">
        <f>VLOOKUP(D968, Products!A:C, 3, FALSE)</f>
        <v>Sports</v>
      </c>
      <c r="M968" t="str">
        <f>IFERROR(VLOOKUP(C968, Customers!A:E, 5, FALSE), "Unknown")</f>
        <v>Retail</v>
      </c>
      <c r="N968" t="str">
        <f>VLOOKUP(E968, Sales_Reps!A:C, 3, FALSE)</f>
        <v>South</v>
      </c>
      <c r="O968">
        <f>VLOOKUP(D968, Products!A:D, 4, FALSE)</f>
        <v>705</v>
      </c>
      <c r="P968">
        <f>IFERROR(VLOOKUP(C968, Customers!A:C, 3, FALSE), 0)</f>
        <v>37</v>
      </c>
      <c r="Q968">
        <f t="shared" si="15"/>
        <v>0.265625</v>
      </c>
    </row>
    <row r="969" spans="1:17" x14ac:dyDescent="0.3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  <c r="L969" t="str">
        <f>VLOOKUP(D969, Products!A:C, 3, FALSE)</f>
        <v>Apparel</v>
      </c>
      <c r="M969" t="str">
        <f>IFERROR(VLOOKUP(C969, Customers!A:E, 5, FALSE), "Unknown")</f>
        <v>SMB</v>
      </c>
      <c r="N969" t="str">
        <f>VLOOKUP(E969, Sales_Reps!A:C, 3, FALSE)</f>
        <v>North</v>
      </c>
      <c r="O969">
        <f>VLOOKUP(D969, Products!A:D, 4, FALSE)</f>
        <v>1173</v>
      </c>
      <c r="P969">
        <f>IFERROR(VLOOKUP(C969, Customers!A:C, 3, FALSE), 0)</f>
        <v>65</v>
      </c>
      <c r="Q969">
        <f t="shared" si="15"/>
        <v>0.52701612903225803</v>
      </c>
    </row>
    <row r="970" spans="1:17" x14ac:dyDescent="0.3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  <c r="L970" t="str">
        <f>VLOOKUP(D970, Products!A:C, 3, FALSE)</f>
        <v>Grocery</v>
      </c>
      <c r="M970" t="str">
        <f>IFERROR(VLOOKUP(C970, Customers!A:E, 5, FALSE), "Unknown")</f>
        <v>Unknown</v>
      </c>
      <c r="N970" t="str">
        <f>VLOOKUP(E970, Sales_Reps!A:C, 3, FALSE)</f>
        <v>South</v>
      </c>
      <c r="O970">
        <f>VLOOKUP(D970, Products!A:D, 4, FALSE)</f>
        <v>434</v>
      </c>
      <c r="P970">
        <f>IFERROR(VLOOKUP(C970, Customers!A:C, 3, FALSE), 0)</f>
        <v>0</v>
      </c>
      <c r="Q970">
        <f t="shared" si="15"/>
        <v>0.5525773195876289</v>
      </c>
    </row>
    <row r="971" spans="1:17" x14ac:dyDescent="0.3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  <c r="L971" t="str">
        <f>VLOOKUP(D971, Products!A:C, 3, FALSE)</f>
        <v>Grocery</v>
      </c>
      <c r="M971" t="str">
        <f>IFERROR(VLOOKUP(C971, Customers!A:E, 5, FALSE), "Unknown")</f>
        <v>SMB</v>
      </c>
      <c r="N971" t="str">
        <f>VLOOKUP(E971, Sales_Reps!A:C, 3, FALSE)</f>
        <v>East</v>
      </c>
      <c r="O971">
        <f>VLOOKUP(D971, Products!A:D, 4, FALSE)</f>
        <v>1182</v>
      </c>
      <c r="P971">
        <f>IFERROR(VLOOKUP(C971, Customers!A:C, 3, FALSE), 0)</f>
        <v>53</v>
      </c>
      <c r="Q971">
        <f t="shared" si="15"/>
        <v>0.50336134453781511</v>
      </c>
    </row>
    <row r="972" spans="1:17" x14ac:dyDescent="0.3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  <c r="L972" t="str">
        <f>VLOOKUP(D972, Products!A:C, 3, FALSE)</f>
        <v>Sports</v>
      </c>
      <c r="M972" t="str">
        <f>IFERROR(VLOOKUP(C972, Customers!A:E, 5, FALSE), "Unknown")</f>
        <v>Retail</v>
      </c>
      <c r="N972" t="str">
        <f>VLOOKUP(E972, Sales_Reps!A:C, 3, FALSE)</f>
        <v>North</v>
      </c>
      <c r="O972">
        <f>VLOOKUP(D972, Products!A:D, 4, FALSE)</f>
        <v>2265</v>
      </c>
      <c r="P972">
        <f>IFERROR(VLOOKUP(C972, Customers!A:C, 3, FALSE), 0)</f>
        <v>60</v>
      </c>
      <c r="Q972">
        <f t="shared" si="15"/>
        <v>0.58133086876155271</v>
      </c>
    </row>
    <row r="973" spans="1:17" x14ac:dyDescent="0.3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  <c r="L973" t="str">
        <f>VLOOKUP(D973, Products!A:C, 3, FALSE)</f>
        <v>Home</v>
      </c>
      <c r="M973" t="str">
        <f>IFERROR(VLOOKUP(C973, Customers!A:E, 5, FALSE), "Unknown")</f>
        <v>Retail</v>
      </c>
      <c r="N973" t="str">
        <f>VLOOKUP(E973, Sales_Reps!A:C, 3, FALSE)</f>
        <v>East</v>
      </c>
      <c r="O973">
        <f>VLOOKUP(D973, Products!A:D, 4, FALSE)</f>
        <v>2459</v>
      </c>
      <c r="P973">
        <f>IFERROR(VLOOKUP(C973, Customers!A:C, 3, FALSE), 0)</f>
        <v>28</v>
      </c>
      <c r="Q973">
        <f t="shared" si="15"/>
        <v>0.51594488188976373</v>
      </c>
    </row>
    <row r="974" spans="1:17" x14ac:dyDescent="0.3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  <c r="L974" t="str">
        <f>VLOOKUP(D974, Products!A:C, 3, FALSE)</f>
        <v>Electronics</v>
      </c>
      <c r="M974" t="str">
        <f>IFERROR(VLOOKUP(C974, Customers!A:E, 5, FALSE), "Unknown")</f>
        <v>Retail</v>
      </c>
      <c r="N974" t="str">
        <f>VLOOKUP(E974, Sales_Reps!A:C, 3, FALSE)</f>
        <v>West</v>
      </c>
      <c r="O974">
        <f>VLOOKUP(D974, Products!A:D, 4, FALSE)</f>
        <v>861</v>
      </c>
      <c r="P974">
        <f>IFERROR(VLOOKUP(C974, Customers!A:C, 3, FALSE), 0)</f>
        <v>39</v>
      </c>
      <c r="Q974">
        <f t="shared" si="15"/>
        <v>0.39790209790209791</v>
      </c>
    </row>
    <row r="975" spans="1:17" x14ac:dyDescent="0.3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  <c r="L975" t="str">
        <f>VLOOKUP(D975, Products!A:C, 3, FALSE)</f>
        <v>Home</v>
      </c>
      <c r="M975" t="str">
        <f>IFERROR(VLOOKUP(C975, Customers!A:E, 5, FALSE), "Unknown")</f>
        <v>SMB</v>
      </c>
      <c r="N975" t="str">
        <f>VLOOKUP(E975, Sales_Reps!A:C, 3, FALSE)</f>
        <v>South</v>
      </c>
      <c r="O975">
        <f>VLOOKUP(D975, Products!A:D, 4, FALSE)</f>
        <v>329</v>
      </c>
      <c r="P975">
        <f>IFERROR(VLOOKUP(C975, Customers!A:C, 3, FALSE), 0)</f>
        <v>38</v>
      </c>
      <c r="Q975">
        <f t="shared" si="15"/>
        <v>0.50151515151515147</v>
      </c>
    </row>
    <row r="976" spans="1:17" x14ac:dyDescent="0.3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  <c r="L976" t="str">
        <f>VLOOKUP(D976, Products!A:C, 3, FALSE)</f>
        <v>Beauty</v>
      </c>
      <c r="M976" t="str">
        <f>IFERROR(VLOOKUP(C976, Customers!A:E, 5, FALSE), "Unknown")</f>
        <v>Retail</v>
      </c>
      <c r="N976" t="str">
        <f>VLOOKUP(E976, Sales_Reps!A:C, 3, FALSE)</f>
        <v>North</v>
      </c>
      <c r="O976">
        <f>VLOOKUP(D976, Products!A:D, 4, FALSE)</f>
        <v>647</v>
      </c>
      <c r="P976">
        <f>IFERROR(VLOOKUP(C976, Customers!A:C, 3, FALSE), 0)</f>
        <v>36</v>
      </c>
      <c r="Q976">
        <f t="shared" si="15"/>
        <v>0.57987012987012987</v>
      </c>
    </row>
    <row r="977" spans="1:17" x14ac:dyDescent="0.3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  <c r="L977" t="str">
        <f>VLOOKUP(D977, Products!A:C, 3, FALSE)</f>
        <v>Grocery</v>
      </c>
      <c r="M977" t="str">
        <f>IFERROR(VLOOKUP(C977, Customers!A:E, 5, FALSE), "Unknown")</f>
        <v>SMB</v>
      </c>
      <c r="N977" t="str">
        <f>VLOOKUP(E977, Sales_Reps!A:C, 3, FALSE)</f>
        <v>North</v>
      </c>
      <c r="O977">
        <f>VLOOKUP(D977, Products!A:D, 4, FALSE)</f>
        <v>1010</v>
      </c>
      <c r="P977">
        <f>IFERROR(VLOOKUP(C977, Customers!A:C, 3, FALSE), 0)</f>
        <v>48</v>
      </c>
      <c r="Q977">
        <f t="shared" si="15"/>
        <v>0.54298642533936647</v>
      </c>
    </row>
    <row r="978" spans="1:17" x14ac:dyDescent="0.3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  <c r="L978" t="str">
        <f>VLOOKUP(D978, Products!A:C, 3, FALSE)</f>
        <v>Sports</v>
      </c>
      <c r="M978" t="str">
        <f>IFERROR(VLOOKUP(C978, Customers!A:E, 5, FALSE), "Unknown")</f>
        <v>Retail</v>
      </c>
      <c r="N978" t="str">
        <f>VLOOKUP(E978, Sales_Reps!A:C, 3, FALSE)</f>
        <v>East</v>
      </c>
      <c r="O978">
        <f>VLOOKUP(D978, Products!A:D, 4, FALSE)</f>
        <v>705</v>
      </c>
      <c r="P978">
        <f>IFERROR(VLOOKUP(C978, Customers!A:C, 3, FALSE), 0)</f>
        <v>44</v>
      </c>
      <c r="Q978">
        <f t="shared" si="15"/>
        <v>0.265625</v>
      </c>
    </row>
    <row r="979" spans="1:17" x14ac:dyDescent="0.3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  <c r="L979" t="str">
        <f>VLOOKUP(D979, Products!A:C, 3, FALSE)</f>
        <v>Beauty</v>
      </c>
      <c r="M979" t="str">
        <f>IFERROR(VLOOKUP(C979, Customers!A:E, 5, FALSE), "Unknown")</f>
        <v>Retail</v>
      </c>
      <c r="N979" t="str">
        <f>VLOOKUP(E979, Sales_Reps!A:C, 3, FALSE)</f>
        <v>East</v>
      </c>
      <c r="O979">
        <f>VLOOKUP(D979, Products!A:D, 4, FALSE)</f>
        <v>2420</v>
      </c>
      <c r="P979">
        <f>IFERROR(VLOOKUP(C979, Customers!A:C, 3, FALSE), 0)</f>
        <v>38</v>
      </c>
      <c r="Q979">
        <f t="shared" si="15"/>
        <v>0.29855072463768118</v>
      </c>
    </row>
    <row r="980" spans="1:17" x14ac:dyDescent="0.3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  <c r="L980" t="str">
        <f>VLOOKUP(D980, Products!A:C, 3, FALSE)</f>
        <v>Home</v>
      </c>
      <c r="M980" t="str">
        <f>IFERROR(VLOOKUP(C980, Customers!A:E, 5, FALSE), "Unknown")</f>
        <v>Unknown</v>
      </c>
      <c r="N980" t="str">
        <f>VLOOKUP(E980, Sales_Reps!A:C, 3, FALSE)</f>
        <v>North</v>
      </c>
      <c r="O980">
        <f>VLOOKUP(D980, Products!A:D, 4, FALSE)</f>
        <v>1143</v>
      </c>
      <c r="P980">
        <f>IFERROR(VLOOKUP(C980, Customers!A:C, 3, FALSE), 0)</f>
        <v>0</v>
      </c>
      <c r="Q980">
        <f t="shared" si="15"/>
        <v>0.43694581280788175</v>
      </c>
    </row>
    <row r="981" spans="1:17" x14ac:dyDescent="0.3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  <c r="L981" t="str">
        <f>VLOOKUP(D981, Products!A:C, 3, FALSE)</f>
        <v>Apparel</v>
      </c>
      <c r="M981" t="str">
        <f>IFERROR(VLOOKUP(C981, Customers!A:E, 5, FALSE), "Unknown")</f>
        <v>SMB</v>
      </c>
      <c r="N981" t="str">
        <f>VLOOKUP(E981, Sales_Reps!A:C, 3, FALSE)</f>
        <v>South</v>
      </c>
      <c r="O981">
        <f>VLOOKUP(D981, Products!A:D, 4, FALSE)</f>
        <v>1748</v>
      </c>
      <c r="P981">
        <f>IFERROR(VLOOKUP(C981, Customers!A:C, 3, FALSE), 0)</f>
        <v>24</v>
      </c>
      <c r="Q981">
        <f t="shared" si="15"/>
        <v>0.49333333333333335</v>
      </c>
    </row>
    <row r="982" spans="1:17" x14ac:dyDescent="0.3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  <c r="L982" t="str">
        <f>VLOOKUP(D982, Products!A:C, 3, FALSE)</f>
        <v>Grocery</v>
      </c>
      <c r="M982" t="str">
        <f>IFERROR(VLOOKUP(C982, Customers!A:E, 5, FALSE), "Unknown")</f>
        <v>Retail</v>
      </c>
      <c r="N982" t="str">
        <f>VLOOKUP(E982, Sales_Reps!A:C, 3, FALSE)</f>
        <v>South</v>
      </c>
      <c r="O982">
        <f>VLOOKUP(D982, Products!A:D, 4, FALSE)</f>
        <v>2436</v>
      </c>
      <c r="P982">
        <f>IFERROR(VLOOKUP(C982, Customers!A:C, 3, FALSE), 0)</f>
        <v>49</v>
      </c>
      <c r="Q982">
        <f t="shared" si="15"/>
        <v>0.35555555555555557</v>
      </c>
    </row>
    <row r="983" spans="1:17" x14ac:dyDescent="0.3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  <c r="L983" t="str">
        <f>VLOOKUP(D983, Products!A:C, 3, FALSE)</f>
        <v>Grocery</v>
      </c>
      <c r="M983" t="str">
        <f>IFERROR(VLOOKUP(C983, Customers!A:E, 5, FALSE), "Unknown")</f>
        <v>Retail</v>
      </c>
      <c r="N983" t="str">
        <f>VLOOKUP(E983, Sales_Reps!A:C, 3, FALSE)</f>
        <v>North</v>
      </c>
      <c r="O983">
        <f>VLOOKUP(D983, Products!A:D, 4, FALSE)</f>
        <v>1435</v>
      </c>
      <c r="P983">
        <f>IFERROR(VLOOKUP(C983, Customers!A:C, 3, FALSE), 0)</f>
        <v>50</v>
      </c>
      <c r="Q983">
        <f t="shared" si="15"/>
        <v>0.48007246376811596</v>
      </c>
    </row>
    <row r="984" spans="1:17" x14ac:dyDescent="0.3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  <c r="L984" t="str">
        <f>VLOOKUP(D984, Products!A:C, 3, FALSE)</f>
        <v>Beauty</v>
      </c>
      <c r="M984" t="str">
        <f>IFERROR(VLOOKUP(C984, Customers!A:E, 5, FALSE), "Unknown")</f>
        <v>Retail</v>
      </c>
      <c r="N984" t="str">
        <f>VLOOKUP(E984, Sales_Reps!A:C, 3, FALSE)</f>
        <v>West</v>
      </c>
      <c r="O984">
        <f>VLOOKUP(D984, Products!A:D, 4, FALSE)</f>
        <v>647</v>
      </c>
      <c r="P984">
        <f>IFERROR(VLOOKUP(C984, Customers!A:C, 3, FALSE), 0)</f>
        <v>31</v>
      </c>
      <c r="Q984">
        <f t="shared" si="15"/>
        <v>0.57987012987012987</v>
      </c>
    </row>
    <row r="985" spans="1:17" x14ac:dyDescent="0.3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  <c r="L985" t="str">
        <f>VLOOKUP(D985, Products!A:C, 3, FALSE)</f>
        <v>Home</v>
      </c>
      <c r="M985" t="str">
        <f>IFERROR(VLOOKUP(C985, Customers!A:E, 5, FALSE), "Unknown")</f>
        <v>Retail</v>
      </c>
      <c r="N985" t="str">
        <f>VLOOKUP(E985, Sales_Reps!A:C, 3, FALSE)</f>
        <v>North</v>
      </c>
      <c r="O985">
        <f>VLOOKUP(D985, Products!A:D, 4, FALSE)</f>
        <v>2135</v>
      </c>
      <c r="P985">
        <f>IFERROR(VLOOKUP(C985, Customers!A:C, 3, FALSE), 0)</f>
        <v>27</v>
      </c>
      <c r="Q985">
        <f t="shared" si="15"/>
        <v>0.42761394101876676</v>
      </c>
    </row>
    <row r="986" spans="1:17" x14ac:dyDescent="0.3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  <c r="L986" t="str">
        <f>VLOOKUP(D986, Products!A:C, 3, FALSE)</f>
        <v>Home</v>
      </c>
      <c r="M986" t="str">
        <f>IFERROR(VLOOKUP(C986, Customers!A:E, 5, FALSE), "Unknown")</f>
        <v>Retail</v>
      </c>
      <c r="N986" t="str">
        <f>VLOOKUP(E986, Sales_Reps!A:C, 3, FALSE)</f>
        <v>West</v>
      </c>
      <c r="O986">
        <f>VLOOKUP(D986, Products!A:D, 4, FALSE)</f>
        <v>2135</v>
      </c>
      <c r="P986">
        <f>IFERROR(VLOOKUP(C986, Customers!A:C, 3, FALSE), 0)</f>
        <v>52</v>
      </c>
      <c r="Q986">
        <f t="shared" si="15"/>
        <v>0.42761394101876676</v>
      </c>
    </row>
    <row r="987" spans="1:17" x14ac:dyDescent="0.3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  <c r="L987" t="str">
        <f>VLOOKUP(D987, Products!A:C, 3, FALSE)</f>
        <v>Apparel</v>
      </c>
      <c r="M987" t="str">
        <f>IFERROR(VLOOKUP(C987, Customers!A:E, 5, FALSE), "Unknown")</f>
        <v>Retail</v>
      </c>
      <c r="N987" t="str">
        <f>VLOOKUP(E987, Sales_Reps!A:C, 3, FALSE)</f>
        <v>South</v>
      </c>
      <c r="O987">
        <f>VLOOKUP(D987, Products!A:D, 4, FALSE)</f>
        <v>1886</v>
      </c>
      <c r="P987">
        <f>IFERROR(VLOOKUP(C987, Customers!A:C, 3, FALSE), 0)</f>
        <v>62</v>
      </c>
      <c r="Q987">
        <f t="shared" si="15"/>
        <v>0.4031645569620253</v>
      </c>
    </row>
    <row r="988" spans="1:17" x14ac:dyDescent="0.3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  <c r="L988" t="str">
        <f>VLOOKUP(D988, Products!A:C, 3, FALSE)</f>
        <v>Beauty</v>
      </c>
      <c r="M988" t="str">
        <f>IFERROR(VLOOKUP(C988, Customers!A:E, 5, FALSE), "Unknown")</f>
        <v>Retail</v>
      </c>
      <c r="N988" t="str">
        <f>VLOOKUP(E988, Sales_Reps!A:C, 3, FALSE)</f>
        <v>East</v>
      </c>
      <c r="O988">
        <f>VLOOKUP(D988, Products!A:D, 4, FALSE)</f>
        <v>1219</v>
      </c>
      <c r="P988">
        <f>IFERROR(VLOOKUP(C988, Customers!A:C, 3, FALSE), 0)</f>
        <v>53</v>
      </c>
      <c r="Q988">
        <f t="shared" si="15"/>
        <v>0.46768558951965067</v>
      </c>
    </row>
    <row r="989" spans="1:17" x14ac:dyDescent="0.3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  <c r="L989" t="str">
        <f>VLOOKUP(D989, Products!A:C, 3, FALSE)</f>
        <v>Electronics</v>
      </c>
      <c r="M989" t="str">
        <f>IFERROR(VLOOKUP(C989, Customers!A:E, 5, FALSE), "Unknown")</f>
        <v>Corporate</v>
      </c>
      <c r="N989" t="str">
        <f>VLOOKUP(E989, Sales_Reps!A:C, 3, FALSE)</f>
        <v>South</v>
      </c>
      <c r="O989">
        <f>VLOOKUP(D989, Products!A:D, 4, FALSE)</f>
        <v>1559</v>
      </c>
      <c r="P989">
        <f>IFERROR(VLOOKUP(C989, Customers!A:C, 3, FALSE), 0)</f>
        <v>48</v>
      </c>
      <c r="Q989">
        <f t="shared" si="15"/>
        <v>0.59715762273901807</v>
      </c>
    </row>
    <row r="990" spans="1:17" x14ac:dyDescent="0.3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  <c r="L990" t="str">
        <f>VLOOKUP(D990, Products!A:C, 3, FALSE)</f>
        <v>Electronics</v>
      </c>
      <c r="M990" t="str">
        <f>IFERROR(VLOOKUP(C990, Customers!A:E, 5, FALSE), "Unknown")</f>
        <v>Retail</v>
      </c>
      <c r="N990" t="str">
        <f>VLOOKUP(E990, Sales_Reps!A:C, 3, FALSE)</f>
        <v>North</v>
      </c>
      <c r="O990">
        <f>VLOOKUP(D990, Products!A:D, 4, FALSE)</f>
        <v>1665</v>
      </c>
      <c r="P990">
        <f>IFERROR(VLOOKUP(C990, Customers!A:C, 3, FALSE), 0)</f>
        <v>55</v>
      </c>
      <c r="Q990">
        <f t="shared" si="15"/>
        <v>0.53361344537815125</v>
      </c>
    </row>
    <row r="991" spans="1:17" x14ac:dyDescent="0.3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  <c r="L991" t="str">
        <f>VLOOKUP(D991, Products!A:C, 3, FALSE)</f>
        <v>Sports</v>
      </c>
      <c r="M991" t="str">
        <f>IFERROR(VLOOKUP(C991, Customers!A:E, 5, FALSE), "Unknown")</f>
        <v>Retail</v>
      </c>
      <c r="N991" t="str">
        <f>VLOOKUP(E991, Sales_Reps!A:C, 3, FALSE)</f>
        <v>North</v>
      </c>
      <c r="O991">
        <f>VLOOKUP(D991, Products!A:D, 4, FALSE)</f>
        <v>516</v>
      </c>
      <c r="P991">
        <f>IFERROR(VLOOKUP(C991, Customers!A:C, 3, FALSE), 0)</f>
        <v>38</v>
      </c>
      <c r="Q991">
        <f t="shared" si="15"/>
        <v>0.4891089108910891</v>
      </c>
    </row>
    <row r="992" spans="1:17" x14ac:dyDescent="0.3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  <c r="L992" t="str">
        <f>VLOOKUP(D992, Products!A:C, 3, FALSE)</f>
        <v>Beauty</v>
      </c>
      <c r="M992" t="str">
        <f>IFERROR(VLOOKUP(C992, Customers!A:E, 5, FALSE), "Unknown")</f>
        <v>Corporate</v>
      </c>
      <c r="N992" t="str">
        <f>VLOOKUP(E992, Sales_Reps!A:C, 3, FALSE)</f>
        <v>North</v>
      </c>
      <c r="O992">
        <f>VLOOKUP(D992, Products!A:D, 4, FALSE)</f>
        <v>1219</v>
      </c>
      <c r="P992">
        <f>IFERROR(VLOOKUP(C992, Customers!A:C, 3, FALSE), 0)</f>
        <v>51</v>
      </c>
      <c r="Q992">
        <f t="shared" si="15"/>
        <v>0.46768558951965067</v>
      </c>
    </row>
    <row r="993" spans="1:17" x14ac:dyDescent="0.3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  <c r="L993" t="str">
        <f>VLOOKUP(D993, Products!A:C, 3, FALSE)</f>
        <v>Home</v>
      </c>
      <c r="M993" t="str">
        <f>IFERROR(VLOOKUP(C993, Customers!A:E, 5, FALSE), "Unknown")</f>
        <v>Corporate</v>
      </c>
      <c r="N993" t="str">
        <f>VLOOKUP(E993, Sales_Reps!A:C, 3, FALSE)</f>
        <v>East</v>
      </c>
      <c r="O993">
        <f>VLOOKUP(D993, Products!A:D, 4, FALSE)</f>
        <v>1850</v>
      </c>
      <c r="P993">
        <f>IFERROR(VLOOKUP(C993, Customers!A:C, 3, FALSE), 0)</f>
        <v>52</v>
      </c>
      <c r="Q993">
        <f t="shared" si="15"/>
        <v>0.59869848156182215</v>
      </c>
    </row>
    <row r="994" spans="1:17" x14ac:dyDescent="0.3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  <c r="L994" t="str">
        <f>VLOOKUP(D994, Products!A:C, 3, FALSE)</f>
        <v>Apparel</v>
      </c>
      <c r="M994" t="str">
        <f>IFERROR(VLOOKUP(C994, Customers!A:E, 5, FALSE), "Unknown")</f>
        <v>Corporate</v>
      </c>
      <c r="N994" t="str">
        <f>VLOOKUP(E994, Sales_Reps!A:C, 3, FALSE)</f>
        <v>North</v>
      </c>
      <c r="O994">
        <f>VLOOKUP(D994, Products!A:D, 4, FALSE)</f>
        <v>1075</v>
      </c>
      <c r="P994">
        <f>IFERROR(VLOOKUP(C994, Customers!A:C, 3, FALSE), 0)</f>
        <v>37</v>
      </c>
      <c r="Q994">
        <f t="shared" si="15"/>
        <v>0.57171314741035861</v>
      </c>
    </row>
    <row r="995" spans="1:17" x14ac:dyDescent="0.3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  <c r="L995" t="str">
        <f>VLOOKUP(D995, Products!A:C, 3, FALSE)</f>
        <v>Beauty</v>
      </c>
      <c r="M995" t="str">
        <f>IFERROR(VLOOKUP(C995, Customers!A:E, 5, FALSE), "Unknown")</f>
        <v>SMB</v>
      </c>
      <c r="N995" t="str">
        <f>VLOOKUP(E995, Sales_Reps!A:C, 3, FALSE)</f>
        <v>South</v>
      </c>
      <c r="O995">
        <f>VLOOKUP(D995, Products!A:D, 4, FALSE)</f>
        <v>1626</v>
      </c>
      <c r="P995">
        <f>IFERROR(VLOOKUP(C995, Customers!A:C, 3, FALSE), 0)</f>
        <v>27</v>
      </c>
      <c r="Q995">
        <f t="shared" si="15"/>
        <v>0.46158940397350995</v>
      </c>
    </row>
    <row r="996" spans="1:17" x14ac:dyDescent="0.3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  <c r="L996" t="str">
        <f>VLOOKUP(D996, Products!A:C, 3, FALSE)</f>
        <v>Sports</v>
      </c>
      <c r="M996" t="str">
        <f>IFERROR(VLOOKUP(C996, Customers!A:E, 5, FALSE), "Unknown")</f>
        <v>Retail</v>
      </c>
      <c r="N996" t="str">
        <f>VLOOKUP(E996, Sales_Reps!A:C, 3, FALSE)</f>
        <v>South</v>
      </c>
      <c r="O996">
        <f>VLOOKUP(D996, Products!A:D, 4, FALSE)</f>
        <v>147</v>
      </c>
      <c r="P996">
        <f>IFERROR(VLOOKUP(C996, Customers!A:C, 3, FALSE), 0)</f>
        <v>62</v>
      </c>
      <c r="Q996">
        <f t="shared" si="15"/>
        <v>0.22631578947368422</v>
      </c>
    </row>
    <row r="997" spans="1:17" x14ac:dyDescent="0.3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  <c r="L997" t="str">
        <f>VLOOKUP(D997, Products!A:C, 3, FALSE)</f>
        <v>Home</v>
      </c>
      <c r="M997" t="str">
        <f>IFERROR(VLOOKUP(C997, Customers!A:E, 5, FALSE), "Unknown")</f>
        <v>Retail</v>
      </c>
      <c r="N997" t="str">
        <f>VLOOKUP(E997, Sales_Reps!A:C, 3, FALSE)</f>
        <v>North</v>
      </c>
      <c r="O997">
        <f>VLOOKUP(D997, Products!A:D, 4, FALSE)</f>
        <v>1143</v>
      </c>
      <c r="P997">
        <f>IFERROR(VLOOKUP(C997, Customers!A:C, 3, FALSE), 0)</f>
        <v>36</v>
      </c>
      <c r="Q997">
        <f t="shared" si="15"/>
        <v>0.43694581280788175</v>
      </c>
    </row>
    <row r="998" spans="1:17" x14ac:dyDescent="0.3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  <c r="L998" t="str">
        <f>VLOOKUP(D998, Products!A:C, 3, FALSE)</f>
        <v>Home</v>
      </c>
      <c r="M998" t="str">
        <f>IFERROR(VLOOKUP(C998, Customers!A:E, 5, FALSE), "Unknown")</f>
        <v>Retail</v>
      </c>
      <c r="N998" t="str">
        <f>VLOOKUP(E998, Sales_Reps!A:C, 3, FALSE)</f>
        <v>South</v>
      </c>
      <c r="O998">
        <f>VLOOKUP(D998, Products!A:D, 4, FALSE)</f>
        <v>1556</v>
      </c>
      <c r="P998">
        <f>IFERROR(VLOOKUP(C998, Customers!A:C, 3, FALSE), 0)</f>
        <v>52</v>
      </c>
      <c r="Q998">
        <f t="shared" si="15"/>
        <v>0.52123076923076928</v>
      </c>
    </row>
    <row r="999" spans="1:17" x14ac:dyDescent="0.3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  <c r="L999" t="str">
        <f>VLOOKUP(D999, Products!A:C, 3, FALSE)</f>
        <v>Home</v>
      </c>
      <c r="M999" t="str">
        <f>IFERROR(VLOOKUP(C999, Customers!A:E, 5, FALSE), "Unknown")</f>
        <v>Retail</v>
      </c>
      <c r="N999" t="str">
        <f>VLOOKUP(E999, Sales_Reps!A:C, 3, FALSE)</f>
        <v>West</v>
      </c>
      <c r="O999">
        <f>VLOOKUP(D999, Products!A:D, 4, FALSE)</f>
        <v>1143</v>
      </c>
      <c r="P999">
        <f>IFERROR(VLOOKUP(C999, Customers!A:C, 3, FALSE), 0)</f>
        <v>65</v>
      </c>
      <c r="Q999">
        <f t="shared" si="15"/>
        <v>0.43694581280788175</v>
      </c>
    </row>
    <row r="1000" spans="1:17" x14ac:dyDescent="0.3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  <c r="L1000" t="str">
        <f>VLOOKUP(D1000, Products!A:C, 3, FALSE)</f>
        <v>Grocery</v>
      </c>
      <c r="M1000" t="str">
        <f>IFERROR(VLOOKUP(C1000, Customers!A:E, 5, FALSE), "Unknown")</f>
        <v>SMB</v>
      </c>
      <c r="N1000" t="str">
        <f>VLOOKUP(E1000, Sales_Reps!A:C, 3, FALSE)</f>
        <v>West</v>
      </c>
      <c r="O1000">
        <f>VLOOKUP(D1000, Products!A:D, 4, FALSE)</f>
        <v>1182</v>
      </c>
      <c r="P1000">
        <f>IFERROR(VLOOKUP(C1000, Customers!A:C, 3, FALSE), 0)</f>
        <v>47</v>
      </c>
      <c r="Q1000">
        <f t="shared" si="15"/>
        <v>0.50336134453781511</v>
      </c>
    </row>
    <row r="1001" spans="1:17" x14ac:dyDescent="0.3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  <c r="L1001" t="str">
        <f>VLOOKUP(D1001, Products!A:C, 3, FALSE)</f>
        <v>Apparel</v>
      </c>
      <c r="M1001" t="str">
        <f>IFERROR(VLOOKUP(C1001, Customers!A:E, 5, FALSE), "Unknown")</f>
        <v>Retail</v>
      </c>
      <c r="N1001" t="str">
        <f>VLOOKUP(E1001, Sales_Reps!A:C, 3, FALSE)</f>
        <v>West</v>
      </c>
      <c r="O1001">
        <f>VLOOKUP(D1001, Products!A:D, 4, FALSE)</f>
        <v>1748</v>
      </c>
      <c r="P1001">
        <f>IFERROR(VLOOKUP(C1001, Customers!A:C, 3, FALSE), 0)</f>
        <v>38</v>
      </c>
      <c r="Q1001">
        <f t="shared" si="15"/>
        <v>0.49333333333333335</v>
      </c>
    </row>
    <row r="1002" spans="1:17" x14ac:dyDescent="0.3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  <c r="L1002" t="str">
        <f>VLOOKUP(D1002, Products!A:C, 3, FALSE)</f>
        <v>Apparel</v>
      </c>
      <c r="M1002" t="str">
        <f>IFERROR(VLOOKUP(C1002, Customers!A:E, 5, FALSE), "Unknown")</f>
        <v>Corporate</v>
      </c>
      <c r="N1002" t="str">
        <f>VLOOKUP(E1002, Sales_Reps!A:C, 3, FALSE)</f>
        <v>North</v>
      </c>
      <c r="O1002">
        <f>VLOOKUP(D1002, Products!A:D, 4, FALSE)</f>
        <v>1886</v>
      </c>
      <c r="P1002">
        <f>IFERROR(VLOOKUP(C1002, Customers!A:C, 3, FALSE), 0)</f>
        <v>29</v>
      </c>
      <c r="Q1002">
        <f t="shared" si="15"/>
        <v>0.4031645569620253</v>
      </c>
    </row>
    <row r="1003" spans="1:17" x14ac:dyDescent="0.3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  <c r="L1003" t="str">
        <f>VLOOKUP(D1003, Products!A:C, 3, FALSE)</f>
        <v>Home</v>
      </c>
      <c r="M1003" t="str">
        <f>IFERROR(VLOOKUP(C1003, Customers!A:E, 5, FALSE), "Unknown")</f>
        <v>Retail</v>
      </c>
      <c r="N1003" t="str">
        <f>VLOOKUP(E1003, Sales_Reps!A:C, 3, FALSE)</f>
        <v>West</v>
      </c>
      <c r="O1003">
        <f>VLOOKUP(D1003, Products!A:D, 4, FALSE)</f>
        <v>2549</v>
      </c>
      <c r="P1003">
        <f>IFERROR(VLOOKUP(C1003, Customers!A:C, 3, FALSE), 0)</f>
        <v>60</v>
      </c>
      <c r="Q1003">
        <f t="shared" si="15"/>
        <v>0.53570127504553733</v>
      </c>
    </row>
    <row r="1004" spans="1:17" x14ac:dyDescent="0.3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  <c r="L1004" t="str">
        <f>VLOOKUP(D1004, Products!A:C, 3, FALSE)</f>
        <v>Sports</v>
      </c>
      <c r="M1004" t="str">
        <f>IFERROR(VLOOKUP(C1004, Customers!A:E, 5, FALSE), "Unknown")</f>
        <v>SMB</v>
      </c>
      <c r="N1004" t="str">
        <f>VLOOKUP(E1004, Sales_Reps!A:C, 3, FALSE)</f>
        <v>North</v>
      </c>
      <c r="O1004">
        <f>VLOOKUP(D1004, Products!A:D, 4, FALSE)</f>
        <v>2028</v>
      </c>
      <c r="P1004">
        <f>IFERROR(VLOOKUP(C1004, Customers!A:C, 3, FALSE), 0)</f>
        <v>46</v>
      </c>
      <c r="Q1004">
        <f t="shared" si="15"/>
        <v>0.29090909090909089</v>
      </c>
    </row>
    <row r="1005" spans="1:17" x14ac:dyDescent="0.3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  <c r="L1005" t="str">
        <f>VLOOKUP(D1005, Products!A:C, 3, FALSE)</f>
        <v>Beauty</v>
      </c>
      <c r="M1005" t="str">
        <f>IFERROR(VLOOKUP(C1005, Customers!A:E, 5, FALSE), "Unknown")</f>
        <v>Retail</v>
      </c>
      <c r="N1005" t="str">
        <f>VLOOKUP(E1005, Sales_Reps!A:C, 3, FALSE)</f>
        <v>South</v>
      </c>
      <c r="O1005">
        <f>VLOOKUP(D1005, Products!A:D, 4, FALSE)</f>
        <v>675</v>
      </c>
      <c r="P1005">
        <f>IFERROR(VLOOKUP(C1005, Customers!A:C, 3, FALSE), 0)</f>
        <v>34</v>
      </c>
      <c r="Q1005">
        <f t="shared" si="15"/>
        <v>0.296875</v>
      </c>
    </row>
    <row r="1006" spans="1:17" x14ac:dyDescent="0.3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  <c r="L1006" t="str">
        <f>VLOOKUP(D1006, Products!A:C, 3, FALSE)</f>
        <v>Home</v>
      </c>
      <c r="M1006" t="str">
        <f>IFERROR(VLOOKUP(C1006, Customers!A:E, 5, FALSE), "Unknown")</f>
        <v>Retail</v>
      </c>
      <c r="N1006" t="str">
        <f>VLOOKUP(E1006, Sales_Reps!A:C, 3, FALSE)</f>
        <v>North</v>
      </c>
      <c r="O1006">
        <f>VLOOKUP(D1006, Products!A:D, 4, FALSE)</f>
        <v>519</v>
      </c>
      <c r="P1006">
        <f>IFERROR(VLOOKUP(C1006, Customers!A:C, 3, FALSE), 0)</f>
        <v>32</v>
      </c>
      <c r="Q1006">
        <f t="shared" si="15"/>
        <v>0.51944444444444449</v>
      </c>
    </row>
    <row r="1007" spans="1:17" x14ac:dyDescent="0.3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  <c r="L1007" t="str">
        <f>VLOOKUP(D1007, Products!A:C, 3, FALSE)</f>
        <v>Sports</v>
      </c>
      <c r="M1007" t="str">
        <f>IFERROR(VLOOKUP(C1007, Customers!A:E, 5, FALSE), "Unknown")</f>
        <v>SMB</v>
      </c>
      <c r="N1007" t="str">
        <f>VLOOKUP(E1007, Sales_Reps!A:C, 3, FALSE)</f>
        <v>North</v>
      </c>
      <c r="O1007">
        <f>VLOOKUP(D1007, Products!A:D, 4, FALSE)</f>
        <v>2028</v>
      </c>
      <c r="P1007">
        <f>IFERROR(VLOOKUP(C1007, Customers!A:C, 3, FALSE), 0)</f>
        <v>54</v>
      </c>
      <c r="Q1007">
        <f t="shared" si="15"/>
        <v>0.29090909090909089</v>
      </c>
    </row>
    <row r="1008" spans="1:17" x14ac:dyDescent="0.3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  <c r="L1008" t="str">
        <f>VLOOKUP(D1008, Products!A:C, 3, FALSE)</f>
        <v>Apparel</v>
      </c>
      <c r="M1008" t="str">
        <f>IFERROR(VLOOKUP(C1008, Customers!A:E, 5, FALSE), "Unknown")</f>
        <v>Retail</v>
      </c>
      <c r="N1008" t="str">
        <f>VLOOKUP(E1008, Sales_Reps!A:C, 3, FALSE)</f>
        <v>North</v>
      </c>
      <c r="O1008">
        <f>VLOOKUP(D1008, Products!A:D, 4, FALSE)</f>
        <v>2611</v>
      </c>
      <c r="P1008">
        <f>IFERROR(VLOOKUP(C1008, Customers!A:C, 3, FALSE), 0)</f>
        <v>34</v>
      </c>
      <c r="Q1008">
        <f t="shared" si="15"/>
        <v>0.28269230769230769</v>
      </c>
    </row>
    <row r="1009" spans="1:17" x14ac:dyDescent="0.3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  <c r="L1009" t="str">
        <f>VLOOKUP(D1009, Products!A:C, 3, FALSE)</f>
        <v>Apparel</v>
      </c>
      <c r="M1009" t="str">
        <f>IFERROR(VLOOKUP(C1009, Customers!A:E, 5, FALSE), "Unknown")</f>
        <v>SMB</v>
      </c>
      <c r="N1009" t="str">
        <f>VLOOKUP(E1009, Sales_Reps!A:C, 3, FALSE)</f>
        <v>East</v>
      </c>
      <c r="O1009">
        <f>VLOOKUP(D1009, Products!A:D, 4, FALSE)</f>
        <v>1962</v>
      </c>
      <c r="P1009">
        <f>IFERROR(VLOOKUP(C1009, Customers!A:C, 3, FALSE), 0)</f>
        <v>40</v>
      </c>
      <c r="Q1009">
        <f t="shared" si="15"/>
        <v>0.2786764705882353</v>
      </c>
    </row>
    <row r="1010" spans="1:17" x14ac:dyDescent="0.3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  <c r="L1010" t="str">
        <f>VLOOKUP(D1010, Products!A:C, 3, FALSE)</f>
        <v>Grocery</v>
      </c>
      <c r="M1010" t="str">
        <f>IFERROR(VLOOKUP(C1010, Customers!A:E, 5, FALSE), "Unknown")</f>
        <v>SMB</v>
      </c>
      <c r="N1010" t="str">
        <f>VLOOKUP(E1010, Sales_Reps!A:C, 3, FALSE)</f>
        <v>North</v>
      </c>
      <c r="O1010">
        <f>VLOOKUP(D1010, Products!A:D, 4, FALSE)</f>
        <v>1203</v>
      </c>
      <c r="P1010">
        <f>IFERROR(VLOOKUP(C1010, Customers!A:C, 3, FALSE), 0)</f>
        <v>48</v>
      </c>
      <c r="Q1010">
        <f t="shared" si="15"/>
        <v>0.47004405286343615</v>
      </c>
    </row>
    <row r="1011" spans="1:17" x14ac:dyDescent="0.3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  <c r="L1011" t="str">
        <f>VLOOKUP(D1011, Products!A:C, 3, FALSE)</f>
        <v>Electronics</v>
      </c>
      <c r="M1011" t="str">
        <f>IFERROR(VLOOKUP(C1011, Customers!A:E, 5, FALSE), "Unknown")</f>
        <v>SMB</v>
      </c>
      <c r="N1011" t="str">
        <f>VLOOKUP(E1011, Sales_Reps!A:C, 3, FALSE)</f>
        <v>West</v>
      </c>
      <c r="O1011">
        <f>VLOOKUP(D1011, Products!A:D, 4, FALSE)</f>
        <v>517</v>
      </c>
      <c r="P1011">
        <f>IFERROR(VLOOKUP(C1011, Customers!A:C, 3, FALSE), 0)</f>
        <v>25</v>
      </c>
      <c r="Q1011">
        <f t="shared" si="15"/>
        <v>0.57622950819672136</v>
      </c>
    </row>
    <row r="1012" spans="1:17" x14ac:dyDescent="0.3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  <c r="L1012" t="str">
        <f>VLOOKUP(D1012, Products!A:C, 3, FALSE)</f>
        <v>Electronics</v>
      </c>
      <c r="M1012" t="str">
        <f>IFERROR(VLOOKUP(C1012, Customers!A:E, 5, FALSE), "Unknown")</f>
        <v>Retail</v>
      </c>
      <c r="N1012" t="str">
        <f>VLOOKUP(E1012, Sales_Reps!A:C, 3, FALSE)</f>
        <v>South</v>
      </c>
      <c r="O1012">
        <f>VLOOKUP(D1012, Products!A:D, 4, FALSE)</f>
        <v>1149</v>
      </c>
      <c r="P1012">
        <f>IFERROR(VLOOKUP(C1012, Customers!A:C, 3, FALSE), 0)</f>
        <v>29</v>
      </c>
      <c r="Q1012">
        <f t="shared" si="15"/>
        <v>0.56477272727272732</v>
      </c>
    </row>
    <row r="1013" spans="1:17" x14ac:dyDescent="0.3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  <c r="L1013" t="str">
        <f>VLOOKUP(D1013, Products!A:C, 3, FALSE)</f>
        <v>Grocery</v>
      </c>
      <c r="M1013" t="str">
        <f>IFERROR(VLOOKUP(C1013, Customers!A:E, 5, FALSE), "Unknown")</f>
        <v>SMB</v>
      </c>
      <c r="N1013" t="str">
        <f>VLOOKUP(E1013, Sales_Reps!A:C, 3, FALSE)</f>
        <v>South</v>
      </c>
      <c r="O1013">
        <f>VLOOKUP(D1013, Products!A:D, 4, FALSE)</f>
        <v>434</v>
      </c>
      <c r="P1013">
        <f>IFERROR(VLOOKUP(C1013, Customers!A:C, 3, FALSE), 0)</f>
        <v>44</v>
      </c>
      <c r="Q1013">
        <f t="shared" si="15"/>
        <v>0.5525773195876289</v>
      </c>
    </row>
    <row r="1014" spans="1:17" x14ac:dyDescent="0.3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  <c r="L1014" t="str">
        <f>VLOOKUP(D1014, Products!A:C, 3, FALSE)</f>
        <v>Home</v>
      </c>
      <c r="M1014" t="str">
        <f>IFERROR(VLOOKUP(C1014, Customers!A:E, 5, FALSE), "Unknown")</f>
        <v>Retail</v>
      </c>
      <c r="N1014" t="str">
        <f>VLOOKUP(E1014, Sales_Reps!A:C, 3, FALSE)</f>
        <v>West</v>
      </c>
      <c r="O1014">
        <f>VLOOKUP(D1014, Products!A:D, 4, FALSE)</f>
        <v>2135</v>
      </c>
      <c r="P1014">
        <f>IFERROR(VLOOKUP(C1014, Customers!A:C, 3, FALSE), 0)</f>
        <v>44</v>
      </c>
      <c r="Q1014">
        <f t="shared" si="15"/>
        <v>0.42761394101876676</v>
      </c>
    </row>
    <row r="1015" spans="1:17" x14ac:dyDescent="0.3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  <c r="L1015" t="str">
        <f>VLOOKUP(D1015, Products!A:C, 3, FALSE)</f>
        <v>Grocery</v>
      </c>
      <c r="M1015" t="str">
        <f>IFERROR(VLOOKUP(C1015, Customers!A:E, 5, FALSE), "Unknown")</f>
        <v>Retail</v>
      </c>
      <c r="N1015" t="str">
        <f>VLOOKUP(E1015, Sales_Reps!A:C, 3, FALSE)</f>
        <v>West</v>
      </c>
      <c r="O1015">
        <f>VLOOKUP(D1015, Products!A:D, 4, FALSE)</f>
        <v>434</v>
      </c>
      <c r="P1015">
        <f>IFERROR(VLOOKUP(C1015, Customers!A:C, 3, FALSE), 0)</f>
        <v>31</v>
      </c>
      <c r="Q1015">
        <f t="shared" si="15"/>
        <v>0.5525773195876289</v>
      </c>
    </row>
    <row r="1016" spans="1:17" x14ac:dyDescent="0.3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  <c r="L1016" t="str">
        <f>VLOOKUP(D1016, Products!A:C, 3, FALSE)</f>
        <v>Electronics</v>
      </c>
      <c r="M1016" t="str">
        <f>IFERROR(VLOOKUP(C1016, Customers!A:E, 5, FALSE), "Unknown")</f>
        <v>SMB</v>
      </c>
      <c r="N1016" t="str">
        <f>VLOOKUP(E1016, Sales_Reps!A:C, 3, FALSE)</f>
        <v>East</v>
      </c>
      <c r="O1016">
        <f>VLOOKUP(D1016, Products!A:D, 4, FALSE)</f>
        <v>1665</v>
      </c>
      <c r="P1016">
        <f>IFERROR(VLOOKUP(C1016, Customers!A:C, 3, FALSE), 0)</f>
        <v>28</v>
      </c>
      <c r="Q1016">
        <f t="shared" si="15"/>
        <v>0.53361344537815125</v>
      </c>
    </row>
    <row r="1017" spans="1:17" x14ac:dyDescent="0.3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  <c r="L1017" t="str">
        <f>VLOOKUP(D1017, Products!A:C, 3, FALSE)</f>
        <v>Grocery</v>
      </c>
      <c r="M1017" t="str">
        <f>IFERROR(VLOOKUP(C1017, Customers!A:E, 5, FALSE), "Unknown")</f>
        <v>Retail</v>
      </c>
      <c r="N1017" t="str">
        <f>VLOOKUP(E1017, Sales_Reps!A:C, 3, FALSE)</f>
        <v>South</v>
      </c>
      <c r="O1017">
        <f>VLOOKUP(D1017, Products!A:D, 4, FALSE)</f>
        <v>434</v>
      </c>
      <c r="P1017">
        <f>IFERROR(VLOOKUP(C1017, Customers!A:C, 3, FALSE), 0)</f>
        <v>26</v>
      </c>
      <c r="Q1017">
        <f t="shared" si="15"/>
        <v>0.5525773195876289</v>
      </c>
    </row>
    <row r="1018" spans="1:17" x14ac:dyDescent="0.3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  <c r="L1018" t="str">
        <f>VLOOKUP(D1018, Products!A:C, 3, FALSE)</f>
        <v>Sports</v>
      </c>
      <c r="M1018" t="str">
        <f>IFERROR(VLOOKUP(C1018, Customers!A:E, 5, FALSE), "Unknown")</f>
        <v>SMB</v>
      </c>
      <c r="N1018" t="str">
        <f>VLOOKUP(E1018, Sales_Reps!A:C, 3, FALSE)</f>
        <v>South</v>
      </c>
      <c r="O1018">
        <f>VLOOKUP(D1018, Products!A:D, 4, FALSE)</f>
        <v>1860</v>
      </c>
      <c r="P1018">
        <f>IFERROR(VLOOKUP(C1018, Customers!A:C, 3, FALSE), 0)</f>
        <v>50</v>
      </c>
      <c r="Q1018">
        <f t="shared" si="15"/>
        <v>0.50793650793650791</v>
      </c>
    </row>
    <row r="1019" spans="1:17" x14ac:dyDescent="0.3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  <c r="L1019" t="str">
        <f>VLOOKUP(D1019, Products!A:C, 3, FALSE)</f>
        <v>Sports</v>
      </c>
      <c r="M1019" t="str">
        <f>IFERROR(VLOOKUP(C1019, Customers!A:E, 5, FALSE), "Unknown")</f>
        <v>Retail</v>
      </c>
      <c r="N1019" t="str">
        <f>VLOOKUP(E1019, Sales_Reps!A:C, 3, FALSE)</f>
        <v>South</v>
      </c>
      <c r="O1019">
        <f>VLOOKUP(D1019, Products!A:D, 4, FALSE)</f>
        <v>974</v>
      </c>
      <c r="P1019">
        <f>IFERROR(VLOOKUP(C1019, Customers!A:C, 3, FALSE), 0)</f>
        <v>28</v>
      </c>
      <c r="Q1019">
        <f t="shared" si="15"/>
        <v>0.59416666666666662</v>
      </c>
    </row>
    <row r="1020" spans="1:17" x14ac:dyDescent="0.3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  <c r="L1020" t="str">
        <f>VLOOKUP(D1020, Products!A:C, 3, FALSE)</f>
        <v>Home</v>
      </c>
      <c r="M1020" t="str">
        <f>IFERROR(VLOOKUP(C1020, Customers!A:E, 5, FALSE), "Unknown")</f>
        <v>SMB</v>
      </c>
      <c r="N1020" t="str">
        <f>VLOOKUP(E1020, Sales_Reps!A:C, 3, FALSE)</f>
        <v>East</v>
      </c>
      <c r="O1020">
        <f>VLOOKUP(D1020, Products!A:D, 4, FALSE)</f>
        <v>1556</v>
      </c>
      <c r="P1020">
        <f>IFERROR(VLOOKUP(C1020, Customers!A:C, 3, FALSE), 0)</f>
        <v>38</v>
      </c>
      <c r="Q1020">
        <f t="shared" si="15"/>
        <v>0.52123076923076928</v>
      </c>
    </row>
    <row r="1021" spans="1:17" x14ac:dyDescent="0.3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  <c r="L1021" t="str">
        <f>VLOOKUP(D1021, Products!A:C, 3, FALSE)</f>
        <v>Grocery</v>
      </c>
      <c r="M1021" t="str">
        <f>IFERROR(VLOOKUP(C1021, Customers!A:E, 5, FALSE), "Unknown")</f>
        <v>Retail</v>
      </c>
      <c r="N1021" t="str">
        <f>VLOOKUP(E1021, Sales_Reps!A:C, 3, FALSE)</f>
        <v>South</v>
      </c>
      <c r="O1021">
        <f>VLOOKUP(D1021, Products!A:D, 4, FALSE)</f>
        <v>1435</v>
      </c>
      <c r="P1021">
        <f>IFERROR(VLOOKUP(C1021, Customers!A:C, 3, FALSE), 0)</f>
        <v>44</v>
      </c>
      <c r="Q1021">
        <f t="shared" si="15"/>
        <v>0.48007246376811596</v>
      </c>
    </row>
    <row r="1022" spans="1:17" x14ac:dyDescent="0.3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  <c r="L1022" t="str">
        <f>VLOOKUP(D1022, Products!A:C, 3, FALSE)</f>
        <v>Electronics</v>
      </c>
      <c r="M1022" t="str">
        <f>IFERROR(VLOOKUP(C1022, Customers!A:E, 5, FALSE), "Unknown")</f>
        <v>SMB</v>
      </c>
      <c r="N1022" t="str">
        <f>VLOOKUP(E1022, Sales_Reps!A:C, 3, FALSE)</f>
        <v>North</v>
      </c>
      <c r="O1022">
        <f>VLOOKUP(D1022, Products!A:D, 4, FALSE)</f>
        <v>1665</v>
      </c>
      <c r="P1022">
        <f>IFERROR(VLOOKUP(C1022, Customers!A:C, 3, FALSE), 0)</f>
        <v>64</v>
      </c>
      <c r="Q1022">
        <f t="shared" si="15"/>
        <v>0.53361344537815125</v>
      </c>
    </row>
    <row r="1023" spans="1:17" x14ac:dyDescent="0.3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  <c r="L1023" t="str">
        <f>VLOOKUP(D1023, Products!A:C, 3, FALSE)</f>
        <v>Grocery</v>
      </c>
      <c r="M1023" t="str">
        <f>IFERROR(VLOOKUP(C1023, Customers!A:E, 5, FALSE), "Unknown")</f>
        <v>Retail</v>
      </c>
      <c r="N1023" t="str">
        <f>VLOOKUP(E1023, Sales_Reps!A:C, 3, FALSE)</f>
        <v>South</v>
      </c>
      <c r="O1023">
        <f>VLOOKUP(D1023, Products!A:D, 4, FALSE)</f>
        <v>2436</v>
      </c>
      <c r="P1023">
        <f>IFERROR(VLOOKUP(C1023, Customers!A:C, 3, FALSE), 0)</f>
        <v>26</v>
      </c>
      <c r="Q1023">
        <f t="shared" si="15"/>
        <v>0.35555555555555557</v>
      </c>
    </row>
    <row r="1024" spans="1:17" x14ac:dyDescent="0.3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  <c r="L1024" t="str">
        <f>VLOOKUP(D1024, Products!A:C, 3, FALSE)</f>
        <v>Electronics</v>
      </c>
      <c r="M1024" t="str">
        <f>IFERROR(VLOOKUP(C1024, Customers!A:E, 5, FALSE), "Unknown")</f>
        <v>Retail</v>
      </c>
      <c r="N1024" t="str">
        <f>VLOOKUP(E1024, Sales_Reps!A:C, 3, FALSE)</f>
        <v>East</v>
      </c>
      <c r="O1024">
        <f>VLOOKUP(D1024, Products!A:D, 4, FALSE)</f>
        <v>861</v>
      </c>
      <c r="P1024">
        <f>IFERROR(VLOOKUP(C1024, Customers!A:C, 3, FALSE), 0)</f>
        <v>61</v>
      </c>
      <c r="Q1024">
        <f t="shared" si="15"/>
        <v>0.39790209790209791</v>
      </c>
    </row>
    <row r="1025" spans="1:17" x14ac:dyDescent="0.3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  <c r="L1025" t="str">
        <f>VLOOKUP(D1025, Products!A:C, 3, FALSE)</f>
        <v>Grocery</v>
      </c>
      <c r="M1025" t="str">
        <f>IFERROR(VLOOKUP(C1025, Customers!A:E, 5, FALSE), "Unknown")</f>
        <v>SMB</v>
      </c>
      <c r="N1025" t="str">
        <f>VLOOKUP(E1025, Sales_Reps!A:C, 3, FALSE)</f>
        <v>South</v>
      </c>
      <c r="O1025">
        <f>VLOOKUP(D1025, Products!A:D, 4, FALSE)</f>
        <v>1412</v>
      </c>
      <c r="P1025">
        <f>IFERROR(VLOOKUP(C1025, Customers!A:C, 3, FALSE), 0)</f>
        <v>29</v>
      </c>
      <c r="Q1025">
        <f t="shared" si="15"/>
        <v>0.37797356828193834</v>
      </c>
    </row>
    <row r="1026" spans="1:17" x14ac:dyDescent="0.3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  <c r="L1026" t="str">
        <f>VLOOKUP(D1026, Products!A:C, 3, FALSE)</f>
        <v>Sports</v>
      </c>
      <c r="M1026" t="str">
        <f>IFERROR(VLOOKUP(C1026, Customers!A:E, 5, FALSE), "Unknown")</f>
        <v>Corporate</v>
      </c>
      <c r="N1026" t="str">
        <f>VLOOKUP(E1026, Sales_Reps!A:C, 3, FALSE)</f>
        <v>South</v>
      </c>
      <c r="O1026">
        <f>VLOOKUP(D1026, Products!A:D, 4, FALSE)</f>
        <v>516</v>
      </c>
      <c r="P1026">
        <f>IFERROR(VLOOKUP(C1026, Customers!A:C, 3, FALSE), 0)</f>
        <v>52</v>
      </c>
      <c r="Q1026">
        <f t="shared" si="15"/>
        <v>0.4891089108910891</v>
      </c>
    </row>
    <row r="1027" spans="1:17" x14ac:dyDescent="0.3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  <c r="L1027" t="str">
        <f>VLOOKUP(D1027, Products!A:C, 3, FALSE)</f>
        <v>Sports</v>
      </c>
      <c r="M1027" t="str">
        <f>IFERROR(VLOOKUP(C1027, Customers!A:E, 5, FALSE), "Unknown")</f>
        <v>SMB</v>
      </c>
      <c r="N1027" t="str">
        <f>VLOOKUP(E1027, Sales_Reps!A:C, 3, FALSE)</f>
        <v>South</v>
      </c>
      <c r="O1027">
        <f>VLOOKUP(D1027, Products!A:D, 4, FALSE)</f>
        <v>2028</v>
      </c>
      <c r="P1027">
        <f>IFERROR(VLOOKUP(C1027, Customers!A:C, 3, FALSE), 0)</f>
        <v>40</v>
      </c>
      <c r="Q1027">
        <f t="shared" ref="Q1027:Q1090" si="16">(G1027 - O1027) / G1027</f>
        <v>0.29090909090909089</v>
      </c>
    </row>
    <row r="1028" spans="1:17" x14ac:dyDescent="0.3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  <c r="L1028" t="str">
        <f>VLOOKUP(D1028, Products!A:C, 3, FALSE)</f>
        <v>Electronics</v>
      </c>
      <c r="M1028" t="str">
        <f>IFERROR(VLOOKUP(C1028, Customers!A:E, 5, FALSE), "Unknown")</f>
        <v>Corporate</v>
      </c>
      <c r="N1028" t="str">
        <f>VLOOKUP(E1028, Sales_Reps!A:C, 3, FALSE)</f>
        <v>East</v>
      </c>
      <c r="O1028">
        <f>VLOOKUP(D1028, Products!A:D, 4, FALSE)</f>
        <v>1052</v>
      </c>
      <c r="P1028">
        <f>IFERROR(VLOOKUP(C1028, Customers!A:C, 3, FALSE), 0)</f>
        <v>44</v>
      </c>
      <c r="Q1028">
        <f t="shared" si="16"/>
        <v>0.5953846153846154</v>
      </c>
    </row>
    <row r="1029" spans="1:17" x14ac:dyDescent="0.3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  <c r="L1029" t="str">
        <f>VLOOKUP(D1029, Products!A:C, 3, FALSE)</f>
        <v>Sports</v>
      </c>
      <c r="M1029" t="str">
        <f>IFERROR(VLOOKUP(C1029, Customers!A:E, 5, FALSE), "Unknown")</f>
        <v>Retail</v>
      </c>
      <c r="N1029" t="str">
        <f>VLOOKUP(E1029, Sales_Reps!A:C, 3, FALSE)</f>
        <v>West</v>
      </c>
      <c r="O1029">
        <f>VLOOKUP(D1029, Products!A:D, 4, FALSE)</f>
        <v>302</v>
      </c>
      <c r="P1029">
        <f>IFERROR(VLOOKUP(C1029, Customers!A:C, 3, FALSE), 0)</f>
        <v>57</v>
      </c>
      <c r="Q1029">
        <f t="shared" si="16"/>
        <v>0.35744680851063831</v>
      </c>
    </row>
    <row r="1030" spans="1:17" x14ac:dyDescent="0.3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  <c r="L1030" t="str">
        <f>VLOOKUP(D1030, Products!A:C, 3, FALSE)</f>
        <v>Home</v>
      </c>
      <c r="M1030" t="str">
        <f>IFERROR(VLOOKUP(C1030, Customers!A:E, 5, FALSE), "Unknown")</f>
        <v>Retail</v>
      </c>
      <c r="N1030" t="str">
        <f>VLOOKUP(E1030, Sales_Reps!A:C, 3, FALSE)</f>
        <v>South</v>
      </c>
      <c r="O1030">
        <f>VLOOKUP(D1030, Products!A:D, 4, FALSE)</f>
        <v>329</v>
      </c>
      <c r="P1030">
        <f>IFERROR(VLOOKUP(C1030, Customers!A:C, 3, FALSE), 0)</f>
        <v>32</v>
      </c>
      <c r="Q1030">
        <f t="shared" si="16"/>
        <v>0.50151515151515147</v>
      </c>
    </row>
    <row r="1031" spans="1:17" x14ac:dyDescent="0.3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  <c r="L1031" t="str">
        <f>VLOOKUP(D1031, Products!A:C, 3, FALSE)</f>
        <v>Electronics</v>
      </c>
      <c r="M1031" t="str">
        <f>IFERROR(VLOOKUP(C1031, Customers!A:E, 5, FALSE), "Unknown")</f>
        <v>SMB</v>
      </c>
      <c r="N1031" t="str">
        <f>VLOOKUP(E1031, Sales_Reps!A:C, 3, FALSE)</f>
        <v>East</v>
      </c>
      <c r="O1031">
        <f>VLOOKUP(D1031, Products!A:D, 4, FALSE)</f>
        <v>517</v>
      </c>
      <c r="P1031">
        <f>IFERROR(VLOOKUP(C1031, Customers!A:C, 3, FALSE), 0)</f>
        <v>49</v>
      </c>
      <c r="Q1031">
        <f t="shared" si="16"/>
        <v>0.57622950819672136</v>
      </c>
    </row>
    <row r="1032" spans="1:17" x14ac:dyDescent="0.3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  <c r="L1032" t="str">
        <f>VLOOKUP(D1032, Products!A:C, 3, FALSE)</f>
        <v>Home</v>
      </c>
      <c r="M1032" t="str">
        <f>IFERROR(VLOOKUP(C1032, Customers!A:E, 5, FALSE), "Unknown")</f>
        <v>SMB</v>
      </c>
      <c r="N1032" t="str">
        <f>VLOOKUP(E1032, Sales_Reps!A:C, 3, FALSE)</f>
        <v>South</v>
      </c>
      <c r="O1032">
        <f>VLOOKUP(D1032, Products!A:D, 4, FALSE)</f>
        <v>1556</v>
      </c>
      <c r="P1032">
        <f>IFERROR(VLOOKUP(C1032, Customers!A:C, 3, FALSE), 0)</f>
        <v>48</v>
      </c>
      <c r="Q1032">
        <f t="shared" si="16"/>
        <v>0.52123076923076928</v>
      </c>
    </row>
    <row r="1033" spans="1:17" x14ac:dyDescent="0.3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  <c r="L1033" t="str">
        <f>VLOOKUP(D1033, Products!A:C, 3, FALSE)</f>
        <v>Apparel</v>
      </c>
      <c r="M1033" t="str">
        <f>IFERROR(VLOOKUP(C1033, Customers!A:E, 5, FALSE), "Unknown")</f>
        <v>Retail</v>
      </c>
      <c r="N1033" t="str">
        <f>VLOOKUP(E1033, Sales_Reps!A:C, 3, FALSE)</f>
        <v>East</v>
      </c>
      <c r="O1033">
        <f>VLOOKUP(D1033, Products!A:D, 4, FALSE)</f>
        <v>396</v>
      </c>
      <c r="P1033">
        <f>IFERROR(VLOOKUP(C1033, Customers!A:C, 3, FALSE), 0)</f>
        <v>36</v>
      </c>
      <c r="Q1033">
        <f t="shared" si="16"/>
        <v>0.36129032258064514</v>
      </c>
    </row>
    <row r="1034" spans="1:17" x14ac:dyDescent="0.3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  <c r="L1034" t="str">
        <f>VLOOKUP(D1034, Products!A:C, 3, FALSE)</f>
        <v>Grocery</v>
      </c>
      <c r="M1034" t="str">
        <f>IFERROR(VLOOKUP(C1034, Customers!A:E, 5, FALSE), "Unknown")</f>
        <v>Retail</v>
      </c>
      <c r="N1034" t="str">
        <f>VLOOKUP(E1034, Sales_Reps!A:C, 3, FALSE)</f>
        <v>North</v>
      </c>
      <c r="O1034">
        <f>VLOOKUP(D1034, Products!A:D, 4, FALSE)</f>
        <v>2027</v>
      </c>
      <c r="P1034">
        <f>IFERROR(VLOOKUP(C1034, Customers!A:C, 3, FALSE), 0)</f>
        <v>49</v>
      </c>
      <c r="Q1034">
        <f t="shared" si="16"/>
        <v>0.50196560196560192</v>
      </c>
    </row>
    <row r="1035" spans="1:17" x14ac:dyDescent="0.3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  <c r="L1035" t="str">
        <f>VLOOKUP(D1035, Products!A:C, 3, FALSE)</f>
        <v>Apparel</v>
      </c>
      <c r="M1035" t="str">
        <f>IFERROR(VLOOKUP(C1035, Customers!A:E, 5, FALSE), "Unknown")</f>
        <v>Retail</v>
      </c>
      <c r="N1035" t="str">
        <f>VLOOKUP(E1035, Sales_Reps!A:C, 3, FALSE)</f>
        <v>North</v>
      </c>
      <c r="O1035">
        <f>VLOOKUP(D1035, Products!A:D, 4, FALSE)</f>
        <v>1886</v>
      </c>
      <c r="P1035">
        <f>IFERROR(VLOOKUP(C1035, Customers!A:C, 3, FALSE), 0)</f>
        <v>27</v>
      </c>
      <c r="Q1035">
        <f t="shared" si="16"/>
        <v>0.4031645569620253</v>
      </c>
    </row>
    <row r="1036" spans="1:17" x14ac:dyDescent="0.3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  <c r="L1036" t="str">
        <f>VLOOKUP(D1036, Products!A:C, 3, FALSE)</f>
        <v>Grocery</v>
      </c>
      <c r="M1036" t="str">
        <f>IFERROR(VLOOKUP(C1036, Customers!A:E, 5, FALSE), "Unknown")</f>
        <v>Retail</v>
      </c>
      <c r="N1036" t="str">
        <f>VLOOKUP(E1036, Sales_Reps!A:C, 3, FALSE)</f>
        <v>East</v>
      </c>
      <c r="O1036">
        <f>VLOOKUP(D1036, Products!A:D, 4, FALSE)</f>
        <v>1010</v>
      </c>
      <c r="P1036">
        <f>IFERROR(VLOOKUP(C1036, Customers!A:C, 3, FALSE), 0)</f>
        <v>36</v>
      </c>
      <c r="Q1036">
        <f t="shared" si="16"/>
        <v>0.54298642533936647</v>
      </c>
    </row>
    <row r="1037" spans="1:17" x14ac:dyDescent="0.3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  <c r="L1037" t="str">
        <f>VLOOKUP(D1037, Products!A:C, 3, FALSE)</f>
        <v>Sports</v>
      </c>
      <c r="M1037" t="str">
        <f>IFERROR(VLOOKUP(C1037, Customers!A:E, 5, FALSE), "Unknown")</f>
        <v>Retail</v>
      </c>
      <c r="N1037" t="str">
        <f>VLOOKUP(E1037, Sales_Reps!A:C, 3, FALSE)</f>
        <v>West</v>
      </c>
      <c r="O1037">
        <f>VLOOKUP(D1037, Products!A:D, 4, FALSE)</f>
        <v>302</v>
      </c>
      <c r="P1037">
        <f>IFERROR(VLOOKUP(C1037, Customers!A:C, 3, FALSE), 0)</f>
        <v>61</v>
      </c>
      <c r="Q1037">
        <f t="shared" si="16"/>
        <v>0.35744680851063831</v>
      </c>
    </row>
    <row r="1038" spans="1:17" x14ac:dyDescent="0.3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  <c r="L1038" t="str">
        <f>VLOOKUP(D1038, Products!A:C, 3, FALSE)</f>
        <v>Home</v>
      </c>
      <c r="M1038" t="str">
        <f>IFERROR(VLOOKUP(C1038, Customers!A:E, 5, FALSE), "Unknown")</f>
        <v>Retail</v>
      </c>
      <c r="N1038" t="str">
        <f>VLOOKUP(E1038, Sales_Reps!A:C, 3, FALSE)</f>
        <v>East</v>
      </c>
      <c r="O1038">
        <f>VLOOKUP(D1038, Products!A:D, 4, FALSE)</f>
        <v>288</v>
      </c>
      <c r="P1038">
        <f>IFERROR(VLOOKUP(C1038, Customers!A:C, 3, FALSE), 0)</f>
        <v>38</v>
      </c>
      <c r="Q1038">
        <f t="shared" si="16"/>
        <v>0.22162162162162163</v>
      </c>
    </row>
    <row r="1039" spans="1:17" x14ac:dyDescent="0.3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  <c r="L1039" t="str">
        <f>VLOOKUP(D1039, Products!A:C, 3, FALSE)</f>
        <v>Sports</v>
      </c>
      <c r="M1039" t="str">
        <f>IFERROR(VLOOKUP(C1039, Customers!A:E, 5, FALSE), "Unknown")</f>
        <v>Retail</v>
      </c>
      <c r="N1039" t="str">
        <f>VLOOKUP(E1039, Sales_Reps!A:C, 3, FALSE)</f>
        <v>East</v>
      </c>
      <c r="O1039">
        <f>VLOOKUP(D1039, Products!A:D, 4, FALSE)</f>
        <v>1860</v>
      </c>
      <c r="P1039">
        <f>IFERROR(VLOOKUP(C1039, Customers!A:C, 3, FALSE), 0)</f>
        <v>44</v>
      </c>
      <c r="Q1039">
        <f t="shared" si="16"/>
        <v>0.50793650793650791</v>
      </c>
    </row>
    <row r="1040" spans="1:17" x14ac:dyDescent="0.3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  <c r="L1040" t="str">
        <f>VLOOKUP(D1040, Products!A:C, 3, FALSE)</f>
        <v>Sports</v>
      </c>
      <c r="M1040" t="str">
        <f>IFERROR(VLOOKUP(C1040, Customers!A:E, 5, FALSE), "Unknown")</f>
        <v>Retail</v>
      </c>
      <c r="N1040" t="str">
        <f>VLOOKUP(E1040, Sales_Reps!A:C, 3, FALSE)</f>
        <v>South</v>
      </c>
      <c r="O1040">
        <f>VLOOKUP(D1040, Products!A:D, 4, FALSE)</f>
        <v>2827</v>
      </c>
      <c r="P1040">
        <f>IFERROR(VLOOKUP(C1040, Customers!A:C, 3, FALSE), 0)</f>
        <v>59</v>
      </c>
      <c r="Q1040">
        <f t="shared" si="16"/>
        <v>0.5926512968299712</v>
      </c>
    </row>
    <row r="1041" spans="1:17" x14ac:dyDescent="0.3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  <c r="L1041" t="str">
        <f>VLOOKUP(D1041, Products!A:C, 3, FALSE)</f>
        <v>Home</v>
      </c>
      <c r="M1041" t="str">
        <f>IFERROR(VLOOKUP(C1041, Customers!A:E, 5, FALSE), "Unknown")</f>
        <v>SMB</v>
      </c>
      <c r="N1041" t="str">
        <f>VLOOKUP(E1041, Sales_Reps!A:C, 3, FALSE)</f>
        <v>East</v>
      </c>
      <c r="O1041">
        <f>VLOOKUP(D1041, Products!A:D, 4, FALSE)</f>
        <v>2135</v>
      </c>
      <c r="P1041">
        <f>IFERROR(VLOOKUP(C1041, Customers!A:C, 3, FALSE), 0)</f>
        <v>48</v>
      </c>
      <c r="Q1041">
        <f t="shared" si="16"/>
        <v>0.42761394101876676</v>
      </c>
    </row>
    <row r="1042" spans="1:17" x14ac:dyDescent="0.3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  <c r="L1042" t="str">
        <f>VLOOKUP(D1042, Products!A:C, 3, FALSE)</f>
        <v>Home</v>
      </c>
      <c r="M1042" t="str">
        <f>IFERROR(VLOOKUP(C1042, Customers!A:E, 5, FALSE), "Unknown")</f>
        <v>Retail</v>
      </c>
      <c r="N1042" t="str">
        <f>VLOOKUP(E1042, Sales_Reps!A:C, 3, FALSE)</f>
        <v>West</v>
      </c>
      <c r="O1042">
        <f>VLOOKUP(D1042, Products!A:D, 4, FALSE)</f>
        <v>2459</v>
      </c>
      <c r="P1042">
        <f>IFERROR(VLOOKUP(C1042, Customers!A:C, 3, FALSE), 0)</f>
        <v>37</v>
      </c>
      <c r="Q1042">
        <f t="shared" si="16"/>
        <v>0.51594488188976373</v>
      </c>
    </row>
    <row r="1043" spans="1:17" x14ac:dyDescent="0.3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  <c r="L1043" t="str">
        <f>VLOOKUP(D1043, Products!A:C, 3, FALSE)</f>
        <v>Sports</v>
      </c>
      <c r="M1043" t="str">
        <f>IFERROR(VLOOKUP(C1043, Customers!A:E, 5, FALSE), "Unknown")</f>
        <v>Retail</v>
      </c>
      <c r="N1043" t="str">
        <f>VLOOKUP(E1043, Sales_Reps!A:C, 3, FALSE)</f>
        <v>North</v>
      </c>
      <c r="O1043">
        <f>VLOOKUP(D1043, Products!A:D, 4, FALSE)</f>
        <v>2265</v>
      </c>
      <c r="P1043">
        <f>IFERROR(VLOOKUP(C1043, Customers!A:C, 3, FALSE), 0)</f>
        <v>32</v>
      </c>
      <c r="Q1043">
        <f t="shared" si="16"/>
        <v>0.58133086876155271</v>
      </c>
    </row>
    <row r="1044" spans="1:17" x14ac:dyDescent="0.3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  <c r="L1044" t="str">
        <f>VLOOKUP(D1044, Products!A:C, 3, FALSE)</f>
        <v>Apparel</v>
      </c>
      <c r="M1044" t="str">
        <f>IFERROR(VLOOKUP(C1044, Customers!A:E, 5, FALSE), "Unknown")</f>
        <v>Retail</v>
      </c>
      <c r="N1044" t="str">
        <f>VLOOKUP(E1044, Sales_Reps!A:C, 3, FALSE)</f>
        <v>West</v>
      </c>
      <c r="O1044">
        <f>VLOOKUP(D1044, Products!A:D, 4, FALSE)</f>
        <v>1962</v>
      </c>
      <c r="P1044">
        <f>IFERROR(VLOOKUP(C1044, Customers!A:C, 3, FALSE), 0)</f>
        <v>44</v>
      </c>
      <c r="Q1044">
        <f t="shared" si="16"/>
        <v>0.2786764705882353</v>
      </c>
    </row>
    <row r="1045" spans="1:17" x14ac:dyDescent="0.3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  <c r="L1045" t="str">
        <f>VLOOKUP(D1045, Products!A:C, 3, FALSE)</f>
        <v>Electronics</v>
      </c>
      <c r="M1045" t="str">
        <f>IFERROR(VLOOKUP(C1045, Customers!A:E, 5, FALSE), "Unknown")</f>
        <v>SMB</v>
      </c>
      <c r="N1045" t="str">
        <f>VLOOKUP(E1045, Sales_Reps!A:C, 3, FALSE)</f>
        <v>South</v>
      </c>
      <c r="O1045">
        <f>VLOOKUP(D1045, Products!A:D, 4, FALSE)</f>
        <v>517</v>
      </c>
      <c r="P1045">
        <f>IFERROR(VLOOKUP(C1045, Customers!A:C, 3, FALSE), 0)</f>
        <v>44</v>
      </c>
      <c r="Q1045">
        <f t="shared" si="16"/>
        <v>0.57622950819672136</v>
      </c>
    </row>
    <row r="1046" spans="1:17" x14ac:dyDescent="0.3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  <c r="L1046" t="str">
        <f>VLOOKUP(D1046, Products!A:C, 3, FALSE)</f>
        <v>Beauty</v>
      </c>
      <c r="M1046" t="str">
        <f>IFERROR(VLOOKUP(C1046, Customers!A:E, 5, FALSE), "Unknown")</f>
        <v>Retail</v>
      </c>
      <c r="N1046" t="str">
        <f>VLOOKUP(E1046, Sales_Reps!A:C, 3, FALSE)</f>
        <v>North</v>
      </c>
      <c r="O1046">
        <f>VLOOKUP(D1046, Products!A:D, 4, FALSE)</f>
        <v>2768</v>
      </c>
      <c r="P1046">
        <f>IFERROR(VLOOKUP(C1046, Customers!A:C, 3, FALSE), 0)</f>
        <v>31</v>
      </c>
      <c r="Q1046">
        <f t="shared" si="16"/>
        <v>0.43278688524590164</v>
      </c>
    </row>
    <row r="1047" spans="1:17" x14ac:dyDescent="0.3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  <c r="L1047" t="str">
        <f>VLOOKUP(D1047, Products!A:C, 3, FALSE)</f>
        <v>Grocery</v>
      </c>
      <c r="M1047" t="str">
        <f>IFERROR(VLOOKUP(C1047, Customers!A:E, 5, FALSE), "Unknown")</f>
        <v>Corporate</v>
      </c>
      <c r="N1047" t="str">
        <f>VLOOKUP(E1047, Sales_Reps!A:C, 3, FALSE)</f>
        <v>East</v>
      </c>
      <c r="O1047">
        <f>VLOOKUP(D1047, Products!A:D, 4, FALSE)</f>
        <v>1412</v>
      </c>
      <c r="P1047">
        <f>IFERROR(VLOOKUP(C1047, Customers!A:C, 3, FALSE), 0)</f>
        <v>62</v>
      </c>
      <c r="Q1047">
        <f t="shared" si="16"/>
        <v>0.37797356828193834</v>
      </c>
    </row>
    <row r="1048" spans="1:17" x14ac:dyDescent="0.3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  <c r="L1048" t="str">
        <f>VLOOKUP(D1048, Products!A:C, 3, FALSE)</f>
        <v>Grocery</v>
      </c>
      <c r="M1048" t="str">
        <f>IFERROR(VLOOKUP(C1048, Customers!A:E, 5, FALSE), "Unknown")</f>
        <v>SMB</v>
      </c>
      <c r="N1048" t="str">
        <f>VLOOKUP(E1048, Sales_Reps!A:C, 3, FALSE)</f>
        <v>North</v>
      </c>
      <c r="O1048">
        <f>VLOOKUP(D1048, Products!A:D, 4, FALSE)</f>
        <v>434</v>
      </c>
      <c r="P1048">
        <f>IFERROR(VLOOKUP(C1048, Customers!A:C, 3, FALSE), 0)</f>
        <v>53</v>
      </c>
      <c r="Q1048">
        <f t="shared" si="16"/>
        <v>0.5525773195876289</v>
      </c>
    </row>
    <row r="1049" spans="1:17" x14ac:dyDescent="0.3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  <c r="L1049" t="str">
        <f>VLOOKUP(D1049, Products!A:C, 3, FALSE)</f>
        <v>Grocery</v>
      </c>
      <c r="M1049" t="str">
        <f>IFERROR(VLOOKUP(C1049, Customers!A:E, 5, FALSE), "Unknown")</f>
        <v>Corporate</v>
      </c>
      <c r="N1049" t="str">
        <f>VLOOKUP(E1049, Sales_Reps!A:C, 3, FALSE)</f>
        <v>South</v>
      </c>
      <c r="O1049">
        <f>VLOOKUP(D1049, Products!A:D, 4, FALSE)</f>
        <v>1182</v>
      </c>
      <c r="P1049">
        <f>IFERROR(VLOOKUP(C1049, Customers!A:C, 3, FALSE), 0)</f>
        <v>27</v>
      </c>
      <c r="Q1049">
        <f t="shared" si="16"/>
        <v>0.50336134453781511</v>
      </c>
    </row>
    <row r="1050" spans="1:17" x14ac:dyDescent="0.3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  <c r="L1050" t="str">
        <f>VLOOKUP(D1050, Products!A:C, 3, FALSE)</f>
        <v>Apparel</v>
      </c>
      <c r="M1050" t="str">
        <f>IFERROR(VLOOKUP(C1050, Customers!A:E, 5, FALSE), "Unknown")</f>
        <v>Corporate</v>
      </c>
      <c r="N1050" t="str">
        <f>VLOOKUP(E1050, Sales_Reps!A:C, 3, FALSE)</f>
        <v>South</v>
      </c>
      <c r="O1050">
        <f>VLOOKUP(D1050, Products!A:D, 4, FALSE)</f>
        <v>2509</v>
      </c>
      <c r="P1050">
        <f>IFERROR(VLOOKUP(C1050, Customers!A:C, 3, FALSE), 0)</f>
        <v>25</v>
      </c>
      <c r="Q1050">
        <f t="shared" si="16"/>
        <v>0.3069060773480663</v>
      </c>
    </row>
    <row r="1051" spans="1:17" x14ac:dyDescent="0.3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  <c r="L1051" t="str">
        <f>VLOOKUP(D1051, Products!A:C, 3, FALSE)</f>
        <v>Grocery</v>
      </c>
      <c r="M1051" t="str">
        <f>IFERROR(VLOOKUP(C1051, Customers!A:E, 5, FALSE), "Unknown")</f>
        <v>Retail</v>
      </c>
      <c r="N1051" t="str">
        <f>VLOOKUP(E1051, Sales_Reps!A:C, 3, FALSE)</f>
        <v>West</v>
      </c>
      <c r="O1051">
        <f>VLOOKUP(D1051, Products!A:D, 4, FALSE)</f>
        <v>2027</v>
      </c>
      <c r="P1051">
        <f>IFERROR(VLOOKUP(C1051, Customers!A:C, 3, FALSE), 0)</f>
        <v>59</v>
      </c>
      <c r="Q1051">
        <f t="shared" si="16"/>
        <v>0.50196560196560192</v>
      </c>
    </row>
    <row r="1052" spans="1:17" x14ac:dyDescent="0.3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  <c r="L1052" t="str">
        <f>VLOOKUP(D1052, Products!A:C, 3, FALSE)</f>
        <v>Beauty</v>
      </c>
      <c r="M1052" t="str">
        <f>IFERROR(VLOOKUP(C1052, Customers!A:E, 5, FALSE), "Unknown")</f>
        <v>Corporate</v>
      </c>
      <c r="N1052" t="str">
        <f>VLOOKUP(E1052, Sales_Reps!A:C, 3, FALSE)</f>
        <v>West</v>
      </c>
      <c r="O1052">
        <f>VLOOKUP(D1052, Products!A:D, 4, FALSE)</f>
        <v>2237</v>
      </c>
      <c r="P1052">
        <f>IFERROR(VLOOKUP(C1052, Customers!A:C, 3, FALSE), 0)</f>
        <v>43</v>
      </c>
      <c r="Q1052">
        <f t="shared" si="16"/>
        <v>0.56137254901960787</v>
      </c>
    </row>
    <row r="1053" spans="1:17" x14ac:dyDescent="0.3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  <c r="L1053" t="str">
        <f>VLOOKUP(D1053, Products!A:C, 3, FALSE)</f>
        <v>Beauty</v>
      </c>
      <c r="M1053" t="str">
        <f>IFERROR(VLOOKUP(C1053, Customers!A:E, 5, FALSE), "Unknown")</f>
        <v>Corporate</v>
      </c>
      <c r="N1053" t="str">
        <f>VLOOKUP(E1053, Sales_Reps!A:C, 3, FALSE)</f>
        <v>East</v>
      </c>
      <c r="O1053">
        <f>VLOOKUP(D1053, Products!A:D, 4, FALSE)</f>
        <v>1626</v>
      </c>
      <c r="P1053">
        <f>IFERROR(VLOOKUP(C1053, Customers!A:C, 3, FALSE), 0)</f>
        <v>62</v>
      </c>
      <c r="Q1053">
        <f t="shared" si="16"/>
        <v>0.46158940397350995</v>
      </c>
    </row>
    <row r="1054" spans="1:17" x14ac:dyDescent="0.3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  <c r="L1054" t="str">
        <f>VLOOKUP(D1054, Products!A:C, 3, FALSE)</f>
        <v>Beauty</v>
      </c>
      <c r="M1054" t="str">
        <f>IFERROR(VLOOKUP(C1054, Customers!A:E, 5, FALSE), "Unknown")</f>
        <v>Corporate</v>
      </c>
      <c r="N1054" t="str">
        <f>VLOOKUP(E1054, Sales_Reps!A:C, 3, FALSE)</f>
        <v>North</v>
      </c>
      <c r="O1054">
        <f>VLOOKUP(D1054, Products!A:D, 4, FALSE)</f>
        <v>675</v>
      </c>
      <c r="P1054">
        <f>IFERROR(VLOOKUP(C1054, Customers!A:C, 3, FALSE), 0)</f>
        <v>42</v>
      </c>
      <c r="Q1054">
        <f t="shared" si="16"/>
        <v>0.296875</v>
      </c>
    </row>
    <row r="1055" spans="1:17" x14ac:dyDescent="0.3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  <c r="L1055" t="str">
        <f>VLOOKUP(D1055, Products!A:C, 3, FALSE)</f>
        <v>Home</v>
      </c>
      <c r="M1055" t="str">
        <f>IFERROR(VLOOKUP(C1055, Customers!A:E, 5, FALSE), "Unknown")</f>
        <v>Retail</v>
      </c>
      <c r="N1055" t="str">
        <f>VLOOKUP(E1055, Sales_Reps!A:C, 3, FALSE)</f>
        <v>South</v>
      </c>
      <c r="O1055">
        <f>VLOOKUP(D1055, Products!A:D, 4, FALSE)</f>
        <v>2459</v>
      </c>
      <c r="P1055">
        <f>IFERROR(VLOOKUP(C1055, Customers!A:C, 3, FALSE), 0)</f>
        <v>61</v>
      </c>
      <c r="Q1055">
        <f t="shared" si="16"/>
        <v>0.51594488188976373</v>
      </c>
    </row>
    <row r="1056" spans="1:17" x14ac:dyDescent="0.3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  <c r="L1056" t="str">
        <f>VLOOKUP(D1056, Products!A:C, 3, FALSE)</f>
        <v>Beauty</v>
      </c>
      <c r="M1056" t="str">
        <f>IFERROR(VLOOKUP(C1056, Customers!A:E, 5, FALSE), "Unknown")</f>
        <v>Corporate</v>
      </c>
      <c r="N1056" t="str">
        <f>VLOOKUP(E1056, Sales_Reps!A:C, 3, FALSE)</f>
        <v>South</v>
      </c>
      <c r="O1056">
        <f>VLOOKUP(D1056, Products!A:D, 4, FALSE)</f>
        <v>2617</v>
      </c>
      <c r="P1056">
        <f>IFERROR(VLOOKUP(C1056, Customers!A:C, 3, FALSE), 0)</f>
        <v>34</v>
      </c>
      <c r="Q1056">
        <f t="shared" si="16"/>
        <v>0.56957236842105263</v>
      </c>
    </row>
    <row r="1057" spans="1:17" x14ac:dyDescent="0.3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  <c r="L1057" t="str">
        <f>VLOOKUP(D1057, Products!A:C, 3, FALSE)</f>
        <v>Beauty</v>
      </c>
      <c r="M1057" t="str">
        <f>IFERROR(VLOOKUP(C1057, Customers!A:E, 5, FALSE), "Unknown")</f>
        <v>Retail</v>
      </c>
      <c r="N1057" t="str">
        <f>VLOOKUP(E1057, Sales_Reps!A:C, 3, FALSE)</f>
        <v>South</v>
      </c>
      <c r="O1057">
        <f>VLOOKUP(D1057, Products!A:D, 4, FALSE)</f>
        <v>647</v>
      </c>
      <c r="P1057">
        <f>IFERROR(VLOOKUP(C1057, Customers!A:C, 3, FALSE), 0)</f>
        <v>38</v>
      </c>
      <c r="Q1057">
        <f t="shared" si="16"/>
        <v>0.57987012987012987</v>
      </c>
    </row>
    <row r="1058" spans="1:17" x14ac:dyDescent="0.3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  <c r="L1058" t="str">
        <f>VLOOKUP(D1058, Products!A:C, 3, FALSE)</f>
        <v>Sports</v>
      </c>
      <c r="M1058" t="str">
        <f>IFERROR(VLOOKUP(C1058, Customers!A:E, 5, FALSE), "Unknown")</f>
        <v>Retail</v>
      </c>
      <c r="N1058" t="str">
        <f>VLOOKUP(E1058, Sales_Reps!A:C, 3, FALSE)</f>
        <v>West</v>
      </c>
      <c r="O1058">
        <f>VLOOKUP(D1058, Products!A:D, 4, FALSE)</f>
        <v>516</v>
      </c>
      <c r="P1058">
        <f>IFERROR(VLOOKUP(C1058, Customers!A:C, 3, FALSE), 0)</f>
        <v>27</v>
      </c>
      <c r="Q1058">
        <f t="shared" si="16"/>
        <v>0.4891089108910891</v>
      </c>
    </row>
    <row r="1059" spans="1:17" x14ac:dyDescent="0.3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  <c r="L1059" t="str">
        <f>VLOOKUP(D1059, Products!A:C, 3, FALSE)</f>
        <v>Beauty</v>
      </c>
      <c r="M1059" t="str">
        <f>IFERROR(VLOOKUP(C1059, Customers!A:E, 5, FALSE), "Unknown")</f>
        <v>SMB</v>
      </c>
      <c r="N1059" t="str">
        <f>VLOOKUP(E1059, Sales_Reps!A:C, 3, FALSE)</f>
        <v>West</v>
      </c>
      <c r="O1059">
        <f>VLOOKUP(D1059, Products!A:D, 4, FALSE)</f>
        <v>675</v>
      </c>
      <c r="P1059">
        <f>IFERROR(VLOOKUP(C1059, Customers!A:C, 3, FALSE), 0)</f>
        <v>48</v>
      </c>
      <c r="Q1059">
        <f t="shared" si="16"/>
        <v>0.296875</v>
      </c>
    </row>
    <row r="1060" spans="1:17" x14ac:dyDescent="0.3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  <c r="L1060" t="str">
        <f>VLOOKUP(D1060, Products!A:C, 3, FALSE)</f>
        <v>Beauty</v>
      </c>
      <c r="M1060" t="str">
        <f>IFERROR(VLOOKUP(C1060, Customers!A:E, 5, FALSE), "Unknown")</f>
        <v>SMB</v>
      </c>
      <c r="N1060" t="str">
        <f>VLOOKUP(E1060, Sales_Reps!A:C, 3, FALSE)</f>
        <v>South</v>
      </c>
      <c r="O1060">
        <f>VLOOKUP(D1060, Products!A:D, 4, FALSE)</f>
        <v>647</v>
      </c>
      <c r="P1060">
        <f>IFERROR(VLOOKUP(C1060, Customers!A:C, 3, FALSE), 0)</f>
        <v>64</v>
      </c>
      <c r="Q1060">
        <f t="shared" si="16"/>
        <v>0.57987012987012987</v>
      </c>
    </row>
    <row r="1061" spans="1:17" x14ac:dyDescent="0.3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  <c r="L1061" t="str">
        <f>VLOOKUP(D1061, Products!A:C, 3, FALSE)</f>
        <v>Beauty</v>
      </c>
      <c r="M1061" t="str">
        <f>IFERROR(VLOOKUP(C1061, Customers!A:E, 5, FALSE), "Unknown")</f>
        <v>SMB</v>
      </c>
      <c r="N1061" t="str">
        <f>VLOOKUP(E1061, Sales_Reps!A:C, 3, FALSE)</f>
        <v>East</v>
      </c>
      <c r="O1061">
        <f>VLOOKUP(D1061, Products!A:D, 4, FALSE)</f>
        <v>1728</v>
      </c>
      <c r="P1061">
        <f>IFERROR(VLOOKUP(C1061, Customers!A:C, 3, FALSE), 0)</f>
        <v>45</v>
      </c>
      <c r="Q1061">
        <f t="shared" si="16"/>
        <v>0.48417910447761192</v>
      </c>
    </row>
    <row r="1062" spans="1:17" x14ac:dyDescent="0.3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  <c r="L1062" t="str">
        <f>VLOOKUP(D1062, Products!A:C, 3, FALSE)</f>
        <v>Sports</v>
      </c>
      <c r="M1062" t="str">
        <f>IFERROR(VLOOKUP(C1062, Customers!A:E, 5, FALSE), "Unknown")</f>
        <v>Retail</v>
      </c>
      <c r="N1062" t="str">
        <f>VLOOKUP(E1062, Sales_Reps!A:C, 3, FALSE)</f>
        <v>East</v>
      </c>
      <c r="O1062">
        <f>VLOOKUP(D1062, Products!A:D, 4, FALSE)</f>
        <v>2467</v>
      </c>
      <c r="P1062">
        <f>IFERROR(VLOOKUP(C1062, Customers!A:C, 3, FALSE), 0)</f>
        <v>31</v>
      </c>
      <c r="Q1062">
        <f t="shared" si="16"/>
        <v>0.28492753623188405</v>
      </c>
    </row>
    <row r="1063" spans="1:17" x14ac:dyDescent="0.3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  <c r="L1063" t="str">
        <f>VLOOKUP(D1063, Products!A:C, 3, FALSE)</f>
        <v>Sports</v>
      </c>
      <c r="M1063" t="str">
        <f>IFERROR(VLOOKUP(C1063, Customers!A:E, 5, FALSE), "Unknown")</f>
        <v>SMB</v>
      </c>
      <c r="N1063" t="str">
        <f>VLOOKUP(E1063, Sales_Reps!A:C, 3, FALSE)</f>
        <v>East</v>
      </c>
      <c r="O1063">
        <f>VLOOKUP(D1063, Products!A:D, 4, FALSE)</f>
        <v>705</v>
      </c>
      <c r="P1063">
        <f>IFERROR(VLOOKUP(C1063, Customers!A:C, 3, FALSE), 0)</f>
        <v>43</v>
      </c>
      <c r="Q1063">
        <f t="shared" si="16"/>
        <v>0.265625</v>
      </c>
    </row>
    <row r="1064" spans="1:17" x14ac:dyDescent="0.3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  <c r="L1064" t="str">
        <f>VLOOKUP(D1064, Products!A:C, 3, FALSE)</f>
        <v>Apparel</v>
      </c>
      <c r="M1064" t="str">
        <f>IFERROR(VLOOKUP(C1064, Customers!A:E, 5, FALSE), "Unknown")</f>
        <v>Retail</v>
      </c>
      <c r="N1064" t="str">
        <f>VLOOKUP(E1064, Sales_Reps!A:C, 3, FALSE)</f>
        <v>South</v>
      </c>
      <c r="O1064">
        <f>VLOOKUP(D1064, Products!A:D, 4, FALSE)</f>
        <v>2611</v>
      </c>
      <c r="P1064">
        <f>IFERROR(VLOOKUP(C1064, Customers!A:C, 3, FALSE), 0)</f>
        <v>55</v>
      </c>
      <c r="Q1064">
        <f t="shared" si="16"/>
        <v>0.28269230769230769</v>
      </c>
    </row>
    <row r="1065" spans="1:17" x14ac:dyDescent="0.3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  <c r="L1065" t="str">
        <f>VLOOKUP(D1065, Products!A:C, 3, FALSE)</f>
        <v>Grocery</v>
      </c>
      <c r="M1065" t="str">
        <f>IFERROR(VLOOKUP(C1065, Customers!A:E, 5, FALSE), "Unknown")</f>
        <v>Retail</v>
      </c>
      <c r="N1065" t="str">
        <f>VLOOKUP(E1065, Sales_Reps!A:C, 3, FALSE)</f>
        <v>East</v>
      </c>
      <c r="O1065">
        <f>VLOOKUP(D1065, Products!A:D, 4, FALSE)</f>
        <v>1010</v>
      </c>
      <c r="P1065">
        <f>IFERROR(VLOOKUP(C1065, Customers!A:C, 3, FALSE), 0)</f>
        <v>27</v>
      </c>
      <c r="Q1065">
        <f t="shared" si="16"/>
        <v>0.54298642533936647</v>
      </c>
    </row>
    <row r="1066" spans="1:17" x14ac:dyDescent="0.3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  <c r="L1066" t="str">
        <f>VLOOKUP(D1066, Products!A:C, 3, FALSE)</f>
        <v>Home</v>
      </c>
      <c r="M1066" t="str">
        <f>IFERROR(VLOOKUP(C1066, Customers!A:E, 5, FALSE), "Unknown")</f>
        <v>Corporate</v>
      </c>
      <c r="N1066" t="str">
        <f>VLOOKUP(E1066, Sales_Reps!A:C, 3, FALSE)</f>
        <v>North</v>
      </c>
      <c r="O1066">
        <f>VLOOKUP(D1066, Products!A:D, 4, FALSE)</f>
        <v>2135</v>
      </c>
      <c r="P1066">
        <f>IFERROR(VLOOKUP(C1066, Customers!A:C, 3, FALSE), 0)</f>
        <v>46</v>
      </c>
      <c r="Q1066">
        <f t="shared" si="16"/>
        <v>0.42761394101876676</v>
      </c>
    </row>
    <row r="1067" spans="1:17" x14ac:dyDescent="0.3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  <c r="L1067" t="str">
        <f>VLOOKUP(D1067, Products!A:C, 3, FALSE)</f>
        <v>Sports</v>
      </c>
      <c r="M1067" t="str">
        <f>IFERROR(VLOOKUP(C1067, Customers!A:E, 5, FALSE), "Unknown")</f>
        <v>Corporate</v>
      </c>
      <c r="N1067" t="str">
        <f>VLOOKUP(E1067, Sales_Reps!A:C, 3, FALSE)</f>
        <v>South</v>
      </c>
      <c r="O1067">
        <f>VLOOKUP(D1067, Products!A:D, 4, FALSE)</f>
        <v>2265</v>
      </c>
      <c r="P1067">
        <f>IFERROR(VLOOKUP(C1067, Customers!A:C, 3, FALSE), 0)</f>
        <v>48</v>
      </c>
      <c r="Q1067">
        <f t="shared" si="16"/>
        <v>0.58133086876155271</v>
      </c>
    </row>
    <row r="1068" spans="1:17" x14ac:dyDescent="0.3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  <c r="L1068" t="str">
        <f>VLOOKUP(D1068, Products!A:C, 3, FALSE)</f>
        <v>Grocery</v>
      </c>
      <c r="M1068" t="str">
        <f>IFERROR(VLOOKUP(C1068, Customers!A:E, 5, FALSE), "Unknown")</f>
        <v>Corporate</v>
      </c>
      <c r="N1068" t="str">
        <f>VLOOKUP(E1068, Sales_Reps!A:C, 3, FALSE)</f>
        <v>East</v>
      </c>
      <c r="O1068">
        <f>VLOOKUP(D1068, Products!A:D, 4, FALSE)</f>
        <v>2436</v>
      </c>
      <c r="P1068">
        <f>IFERROR(VLOOKUP(C1068, Customers!A:C, 3, FALSE), 0)</f>
        <v>62</v>
      </c>
      <c r="Q1068">
        <f t="shared" si="16"/>
        <v>0.35555555555555557</v>
      </c>
    </row>
    <row r="1069" spans="1:17" x14ac:dyDescent="0.3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  <c r="L1069" t="str">
        <f>VLOOKUP(D1069, Products!A:C, 3, FALSE)</f>
        <v>Home</v>
      </c>
      <c r="M1069" t="str">
        <f>IFERROR(VLOOKUP(C1069, Customers!A:E, 5, FALSE), "Unknown")</f>
        <v>SMB</v>
      </c>
      <c r="N1069" t="str">
        <f>VLOOKUP(E1069, Sales_Reps!A:C, 3, FALSE)</f>
        <v>South</v>
      </c>
      <c r="O1069">
        <f>VLOOKUP(D1069, Products!A:D, 4, FALSE)</f>
        <v>1850</v>
      </c>
      <c r="P1069">
        <f>IFERROR(VLOOKUP(C1069, Customers!A:C, 3, FALSE), 0)</f>
        <v>55</v>
      </c>
      <c r="Q1069">
        <f t="shared" si="16"/>
        <v>0.59869848156182215</v>
      </c>
    </row>
    <row r="1070" spans="1:17" x14ac:dyDescent="0.3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  <c r="L1070" t="str">
        <f>VLOOKUP(D1070, Products!A:C, 3, FALSE)</f>
        <v>Electronics</v>
      </c>
      <c r="M1070" t="str">
        <f>IFERROR(VLOOKUP(C1070, Customers!A:E, 5, FALSE), "Unknown")</f>
        <v>Retail</v>
      </c>
      <c r="N1070" t="str">
        <f>VLOOKUP(E1070, Sales_Reps!A:C, 3, FALSE)</f>
        <v>West</v>
      </c>
      <c r="O1070">
        <f>VLOOKUP(D1070, Products!A:D, 4, FALSE)</f>
        <v>1149</v>
      </c>
      <c r="P1070">
        <f>IFERROR(VLOOKUP(C1070, Customers!A:C, 3, FALSE), 0)</f>
        <v>61</v>
      </c>
      <c r="Q1070">
        <f t="shared" si="16"/>
        <v>0.56477272727272732</v>
      </c>
    </row>
    <row r="1071" spans="1:17" x14ac:dyDescent="0.3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  <c r="L1071" t="str">
        <f>VLOOKUP(D1071, Products!A:C, 3, FALSE)</f>
        <v>Apparel</v>
      </c>
      <c r="M1071" t="str">
        <f>IFERROR(VLOOKUP(C1071, Customers!A:E, 5, FALSE), "Unknown")</f>
        <v>Retail</v>
      </c>
      <c r="N1071" t="str">
        <f>VLOOKUP(E1071, Sales_Reps!A:C, 3, FALSE)</f>
        <v>South</v>
      </c>
      <c r="O1071">
        <f>VLOOKUP(D1071, Products!A:D, 4, FALSE)</f>
        <v>2509</v>
      </c>
      <c r="P1071">
        <f>IFERROR(VLOOKUP(C1071, Customers!A:C, 3, FALSE), 0)</f>
        <v>53</v>
      </c>
      <c r="Q1071">
        <f t="shared" si="16"/>
        <v>0.3069060773480663</v>
      </c>
    </row>
    <row r="1072" spans="1:17" x14ac:dyDescent="0.3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  <c r="L1072" t="str">
        <f>VLOOKUP(D1072, Products!A:C, 3, FALSE)</f>
        <v>Sports</v>
      </c>
      <c r="M1072" t="str">
        <f>IFERROR(VLOOKUP(C1072, Customers!A:E, 5, FALSE), "Unknown")</f>
        <v>Retail</v>
      </c>
      <c r="N1072" t="str">
        <f>VLOOKUP(E1072, Sales_Reps!A:C, 3, FALSE)</f>
        <v>East</v>
      </c>
      <c r="O1072">
        <f>VLOOKUP(D1072, Products!A:D, 4, FALSE)</f>
        <v>302</v>
      </c>
      <c r="P1072">
        <f>IFERROR(VLOOKUP(C1072, Customers!A:C, 3, FALSE), 0)</f>
        <v>63</v>
      </c>
      <c r="Q1072">
        <f t="shared" si="16"/>
        <v>0.35744680851063831</v>
      </c>
    </row>
    <row r="1073" spans="1:17" x14ac:dyDescent="0.3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  <c r="L1073" t="str">
        <f>VLOOKUP(D1073, Products!A:C, 3, FALSE)</f>
        <v>Electronics</v>
      </c>
      <c r="M1073" t="str">
        <f>IFERROR(VLOOKUP(C1073, Customers!A:E, 5, FALSE), "Unknown")</f>
        <v>Retail</v>
      </c>
      <c r="N1073" t="str">
        <f>VLOOKUP(E1073, Sales_Reps!A:C, 3, FALSE)</f>
        <v>South</v>
      </c>
      <c r="O1073">
        <f>VLOOKUP(D1073, Products!A:D, 4, FALSE)</f>
        <v>2405</v>
      </c>
      <c r="P1073">
        <f>IFERROR(VLOOKUP(C1073, Customers!A:C, 3, FALSE), 0)</f>
        <v>54</v>
      </c>
      <c r="Q1073">
        <f t="shared" si="16"/>
        <v>0.54878048780487809</v>
      </c>
    </row>
    <row r="1074" spans="1:17" x14ac:dyDescent="0.3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  <c r="L1074" t="str">
        <f>VLOOKUP(D1074, Products!A:C, 3, FALSE)</f>
        <v>Beauty</v>
      </c>
      <c r="M1074" t="str">
        <f>IFERROR(VLOOKUP(C1074, Customers!A:E, 5, FALSE), "Unknown")</f>
        <v>SMB</v>
      </c>
      <c r="N1074" t="str">
        <f>VLOOKUP(E1074, Sales_Reps!A:C, 3, FALSE)</f>
        <v>South</v>
      </c>
      <c r="O1074">
        <f>VLOOKUP(D1074, Products!A:D, 4, FALSE)</f>
        <v>2617</v>
      </c>
      <c r="P1074">
        <f>IFERROR(VLOOKUP(C1074, Customers!A:C, 3, FALSE), 0)</f>
        <v>39</v>
      </c>
      <c r="Q1074">
        <f t="shared" si="16"/>
        <v>0.56957236842105263</v>
      </c>
    </row>
    <row r="1075" spans="1:17" x14ac:dyDescent="0.3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  <c r="L1075" t="str">
        <f>VLOOKUP(D1075, Products!A:C, 3, FALSE)</f>
        <v>Beauty</v>
      </c>
      <c r="M1075" t="str">
        <f>IFERROR(VLOOKUP(C1075, Customers!A:E, 5, FALSE), "Unknown")</f>
        <v>SMB</v>
      </c>
      <c r="N1075" t="str">
        <f>VLOOKUP(E1075, Sales_Reps!A:C, 3, FALSE)</f>
        <v>West</v>
      </c>
      <c r="O1075">
        <f>VLOOKUP(D1075, Products!A:D, 4, FALSE)</f>
        <v>1728</v>
      </c>
      <c r="P1075">
        <f>IFERROR(VLOOKUP(C1075, Customers!A:C, 3, FALSE), 0)</f>
        <v>40</v>
      </c>
      <c r="Q1075">
        <f t="shared" si="16"/>
        <v>0.48417910447761192</v>
      </c>
    </row>
    <row r="1076" spans="1:17" x14ac:dyDescent="0.3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  <c r="L1076" t="str">
        <f>VLOOKUP(D1076, Products!A:C, 3, FALSE)</f>
        <v>Sports</v>
      </c>
      <c r="M1076" t="str">
        <f>IFERROR(VLOOKUP(C1076, Customers!A:E, 5, FALSE), "Unknown")</f>
        <v>Unknown</v>
      </c>
      <c r="N1076" t="str">
        <f>VLOOKUP(E1076, Sales_Reps!A:C, 3, FALSE)</f>
        <v>West</v>
      </c>
      <c r="O1076">
        <f>VLOOKUP(D1076, Products!A:D, 4, FALSE)</f>
        <v>2827</v>
      </c>
      <c r="P1076">
        <f>IFERROR(VLOOKUP(C1076, Customers!A:C, 3, FALSE), 0)</f>
        <v>0</v>
      </c>
      <c r="Q1076">
        <f t="shared" si="16"/>
        <v>0.5926512968299712</v>
      </c>
    </row>
    <row r="1077" spans="1:17" x14ac:dyDescent="0.3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  <c r="L1077" t="str">
        <f>VLOOKUP(D1077, Products!A:C, 3, FALSE)</f>
        <v>Home</v>
      </c>
      <c r="M1077" t="str">
        <f>IFERROR(VLOOKUP(C1077, Customers!A:E, 5, FALSE), "Unknown")</f>
        <v>Corporate</v>
      </c>
      <c r="N1077" t="str">
        <f>VLOOKUP(E1077, Sales_Reps!A:C, 3, FALSE)</f>
        <v>North</v>
      </c>
      <c r="O1077">
        <f>VLOOKUP(D1077, Products!A:D, 4, FALSE)</f>
        <v>288</v>
      </c>
      <c r="P1077">
        <f>IFERROR(VLOOKUP(C1077, Customers!A:C, 3, FALSE), 0)</f>
        <v>46</v>
      </c>
      <c r="Q1077">
        <f t="shared" si="16"/>
        <v>0.22162162162162163</v>
      </c>
    </row>
    <row r="1078" spans="1:17" x14ac:dyDescent="0.3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  <c r="L1078" t="str">
        <f>VLOOKUP(D1078, Products!A:C, 3, FALSE)</f>
        <v>Home</v>
      </c>
      <c r="M1078" t="str">
        <f>IFERROR(VLOOKUP(C1078, Customers!A:E, 5, FALSE), "Unknown")</f>
        <v>SMB</v>
      </c>
      <c r="N1078" t="str">
        <f>VLOOKUP(E1078, Sales_Reps!A:C, 3, FALSE)</f>
        <v>East</v>
      </c>
      <c r="O1078">
        <f>VLOOKUP(D1078, Products!A:D, 4, FALSE)</f>
        <v>2549</v>
      </c>
      <c r="P1078">
        <f>IFERROR(VLOOKUP(C1078, Customers!A:C, 3, FALSE), 0)</f>
        <v>49</v>
      </c>
      <c r="Q1078">
        <f t="shared" si="16"/>
        <v>0.53570127504553733</v>
      </c>
    </row>
    <row r="1079" spans="1:17" x14ac:dyDescent="0.3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  <c r="L1079" t="str">
        <f>VLOOKUP(D1079, Products!A:C, 3, FALSE)</f>
        <v>Grocery</v>
      </c>
      <c r="M1079" t="str">
        <f>IFERROR(VLOOKUP(C1079, Customers!A:E, 5, FALSE), "Unknown")</f>
        <v>Retail</v>
      </c>
      <c r="N1079" t="str">
        <f>VLOOKUP(E1079, Sales_Reps!A:C, 3, FALSE)</f>
        <v>South</v>
      </c>
      <c r="O1079">
        <f>VLOOKUP(D1079, Products!A:D, 4, FALSE)</f>
        <v>2214</v>
      </c>
      <c r="P1079">
        <f>IFERROR(VLOOKUP(C1079, Customers!A:C, 3, FALSE), 0)</f>
        <v>33</v>
      </c>
      <c r="Q1079">
        <f t="shared" si="16"/>
        <v>0.39508196721311473</v>
      </c>
    </row>
    <row r="1080" spans="1:17" x14ac:dyDescent="0.3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  <c r="L1080" t="str">
        <f>VLOOKUP(D1080, Products!A:C, 3, FALSE)</f>
        <v>Electronics</v>
      </c>
      <c r="M1080" t="str">
        <f>IFERROR(VLOOKUP(C1080, Customers!A:E, 5, FALSE), "Unknown")</f>
        <v>Retail</v>
      </c>
      <c r="N1080" t="str">
        <f>VLOOKUP(E1080, Sales_Reps!A:C, 3, FALSE)</f>
        <v>West</v>
      </c>
      <c r="O1080">
        <f>VLOOKUP(D1080, Products!A:D, 4, FALSE)</f>
        <v>128</v>
      </c>
      <c r="P1080">
        <f>IFERROR(VLOOKUP(C1080, Customers!A:C, 3, FALSE), 0)</f>
        <v>50</v>
      </c>
      <c r="Q1080">
        <f t="shared" si="16"/>
        <v>0.57333333333333336</v>
      </c>
    </row>
    <row r="1081" spans="1:17" x14ac:dyDescent="0.3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  <c r="L1081" t="str">
        <f>VLOOKUP(D1081, Products!A:C, 3, FALSE)</f>
        <v>Electronics</v>
      </c>
      <c r="M1081" t="str">
        <f>IFERROR(VLOOKUP(C1081, Customers!A:E, 5, FALSE), "Unknown")</f>
        <v>Retail</v>
      </c>
      <c r="N1081" t="str">
        <f>VLOOKUP(E1081, Sales_Reps!A:C, 3, FALSE)</f>
        <v>South</v>
      </c>
      <c r="O1081">
        <f>VLOOKUP(D1081, Products!A:D, 4, FALSE)</f>
        <v>128</v>
      </c>
      <c r="P1081">
        <f>IFERROR(VLOOKUP(C1081, Customers!A:C, 3, FALSE), 0)</f>
        <v>63</v>
      </c>
      <c r="Q1081">
        <f t="shared" si="16"/>
        <v>0.57333333333333336</v>
      </c>
    </row>
    <row r="1082" spans="1:17" x14ac:dyDescent="0.3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  <c r="L1082" t="str">
        <f>VLOOKUP(D1082, Products!A:C, 3, FALSE)</f>
        <v>Beauty</v>
      </c>
      <c r="M1082" t="str">
        <f>IFERROR(VLOOKUP(C1082, Customers!A:E, 5, FALSE), "Unknown")</f>
        <v>Retail</v>
      </c>
      <c r="N1082" t="str">
        <f>VLOOKUP(E1082, Sales_Reps!A:C, 3, FALSE)</f>
        <v>South</v>
      </c>
      <c r="O1082">
        <f>VLOOKUP(D1082, Products!A:D, 4, FALSE)</f>
        <v>675</v>
      </c>
      <c r="P1082">
        <f>IFERROR(VLOOKUP(C1082, Customers!A:C, 3, FALSE), 0)</f>
        <v>39</v>
      </c>
      <c r="Q1082">
        <f t="shared" si="16"/>
        <v>0.296875</v>
      </c>
    </row>
    <row r="1083" spans="1:17" x14ac:dyDescent="0.3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  <c r="L1083" t="str">
        <f>VLOOKUP(D1083, Products!A:C, 3, FALSE)</f>
        <v>Grocery</v>
      </c>
      <c r="M1083" t="str">
        <f>IFERROR(VLOOKUP(C1083, Customers!A:E, 5, FALSE), "Unknown")</f>
        <v>Retail</v>
      </c>
      <c r="N1083" t="str">
        <f>VLOOKUP(E1083, Sales_Reps!A:C, 3, FALSE)</f>
        <v>West</v>
      </c>
      <c r="O1083">
        <f>VLOOKUP(D1083, Products!A:D, 4, FALSE)</f>
        <v>1412</v>
      </c>
      <c r="P1083">
        <f>IFERROR(VLOOKUP(C1083, Customers!A:C, 3, FALSE), 0)</f>
        <v>41</v>
      </c>
      <c r="Q1083">
        <f t="shared" si="16"/>
        <v>0.37797356828193834</v>
      </c>
    </row>
    <row r="1084" spans="1:17" x14ac:dyDescent="0.3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  <c r="L1084" t="str">
        <f>VLOOKUP(D1084, Products!A:C, 3, FALSE)</f>
        <v>Home</v>
      </c>
      <c r="M1084" t="str">
        <f>IFERROR(VLOOKUP(C1084, Customers!A:E, 5, FALSE), "Unknown")</f>
        <v>Corporate</v>
      </c>
      <c r="N1084" t="str">
        <f>VLOOKUP(E1084, Sales_Reps!A:C, 3, FALSE)</f>
        <v>West</v>
      </c>
      <c r="O1084">
        <f>VLOOKUP(D1084, Products!A:D, 4, FALSE)</f>
        <v>1143</v>
      </c>
      <c r="P1084">
        <f>IFERROR(VLOOKUP(C1084, Customers!A:C, 3, FALSE), 0)</f>
        <v>59</v>
      </c>
      <c r="Q1084">
        <f t="shared" si="16"/>
        <v>0.43694581280788175</v>
      </c>
    </row>
    <row r="1085" spans="1:17" x14ac:dyDescent="0.3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  <c r="L1085" t="str">
        <f>VLOOKUP(D1085, Products!A:C, 3, FALSE)</f>
        <v>Home</v>
      </c>
      <c r="M1085" t="str">
        <f>IFERROR(VLOOKUP(C1085, Customers!A:E, 5, FALSE), "Unknown")</f>
        <v>Retail</v>
      </c>
      <c r="N1085" t="str">
        <f>VLOOKUP(E1085, Sales_Reps!A:C, 3, FALSE)</f>
        <v>East</v>
      </c>
      <c r="O1085">
        <f>VLOOKUP(D1085, Products!A:D, 4, FALSE)</f>
        <v>519</v>
      </c>
      <c r="P1085">
        <f>IFERROR(VLOOKUP(C1085, Customers!A:C, 3, FALSE), 0)</f>
        <v>37</v>
      </c>
      <c r="Q1085">
        <f t="shared" si="16"/>
        <v>0.51944444444444449</v>
      </c>
    </row>
    <row r="1086" spans="1:17" x14ac:dyDescent="0.3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  <c r="L1086" t="str">
        <f>VLOOKUP(D1086, Products!A:C, 3, FALSE)</f>
        <v>Sports</v>
      </c>
      <c r="M1086" t="str">
        <f>IFERROR(VLOOKUP(C1086, Customers!A:E, 5, FALSE), "Unknown")</f>
        <v>Retail</v>
      </c>
      <c r="N1086" t="str">
        <f>VLOOKUP(E1086, Sales_Reps!A:C, 3, FALSE)</f>
        <v>West</v>
      </c>
      <c r="O1086">
        <f>VLOOKUP(D1086, Products!A:D, 4, FALSE)</f>
        <v>2028</v>
      </c>
      <c r="P1086">
        <f>IFERROR(VLOOKUP(C1086, Customers!A:C, 3, FALSE), 0)</f>
        <v>50</v>
      </c>
      <c r="Q1086">
        <f t="shared" si="16"/>
        <v>0.29090909090909089</v>
      </c>
    </row>
    <row r="1087" spans="1:17" x14ac:dyDescent="0.3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  <c r="L1087" t="str">
        <f>VLOOKUP(D1087, Products!A:C, 3, FALSE)</f>
        <v>Grocery</v>
      </c>
      <c r="M1087" t="str">
        <f>IFERROR(VLOOKUP(C1087, Customers!A:E, 5, FALSE), "Unknown")</f>
        <v>Corporate</v>
      </c>
      <c r="N1087" t="str">
        <f>VLOOKUP(E1087, Sales_Reps!A:C, 3, FALSE)</f>
        <v>South</v>
      </c>
      <c r="O1087">
        <f>VLOOKUP(D1087, Products!A:D, 4, FALSE)</f>
        <v>1203</v>
      </c>
      <c r="P1087">
        <f>IFERROR(VLOOKUP(C1087, Customers!A:C, 3, FALSE), 0)</f>
        <v>46</v>
      </c>
      <c r="Q1087">
        <f t="shared" si="16"/>
        <v>0.47004405286343615</v>
      </c>
    </row>
    <row r="1088" spans="1:17" x14ac:dyDescent="0.3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  <c r="L1088" t="str">
        <f>VLOOKUP(D1088, Products!A:C, 3, FALSE)</f>
        <v>Apparel</v>
      </c>
      <c r="M1088" t="str">
        <f>IFERROR(VLOOKUP(C1088, Customers!A:E, 5, FALSE), "Unknown")</f>
        <v>Retail</v>
      </c>
      <c r="N1088" t="str">
        <f>VLOOKUP(E1088, Sales_Reps!A:C, 3, FALSE)</f>
        <v>West</v>
      </c>
      <c r="O1088">
        <f>VLOOKUP(D1088, Products!A:D, 4, FALSE)</f>
        <v>1962</v>
      </c>
      <c r="P1088">
        <f>IFERROR(VLOOKUP(C1088, Customers!A:C, 3, FALSE), 0)</f>
        <v>49</v>
      </c>
      <c r="Q1088">
        <f t="shared" si="16"/>
        <v>0.2786764705882353</v>
      </c>
    </row>
    <row r="1089" spans="1:17" x14ac:dyDescent="0.3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  <c r="L1089" t="str">
        <f>VLOOKUP(D1089, Products!A:C, 3, FALSE)</f>
        <v>Electronics</v>
      </c>
      <c r="M1089" t="str">
        <f>IFERROR(VLOOKUP(C1089, Customers!A:E, 5, FALSE), "Unknown")</f>
        <v>Corporate</v>
      </c>
      <c r="N1089" t="str">
        <f>VLOOKUP(E1089, Sales_Reps!A:C, 3, FALSE)</f>
        <v>North</v>
      </c>
      <c r="O1089">
        <f>VLOOKUP(D1089, Products!A:D, 4, FALSE)</f>
        <v>1559</v>
      </c>
      <c r="P1089">
        <f>IFERROR(VLOOKUP(C1089, Customers!A:C, 3, FALSE), 0)</f>
        <v>55</v>
      </c>
      <c r="Q1089">
        <f t="shared" si="16"/>
        <v>0.59715762273901807</v>
      </c>
    </row>
    <row r="1090" spans="1:17" x14ac:dyDescent="0.3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  <c r="L1090" t="str">
        <f>VLOOKUP(D1090, Products!A:C, 3, FALSE)</f>
        <v>Apparel</v>
      </c>
      <c r="M1090" t="str">
        <f>IFERROR(VLOOKUP(C1090, Customers!A:E, 5, FALSE), "Unknown")</f>
        <v>Corporate</v>
      </c>
      <c r="N1090" t="str">
        <f>VLOOKUP(E1090, Sales_Reps!A:C, 3, FALSE)</f>
        <v>East</v>
      </c>
      <c r="O1090">
        <f>VLOOKUP(D1090, Products!A:D, 4, FALSE)</f>
        <v>1748</v>
      </c>
      <c r="P1090">
        <f>IFERROR(VLOOKUP(C1090, Customers!A:C, 3, FALSE), 0)</f>
        <v>60</v>
      </c>
      <c r="Q1090">
        <f t="shared" si="16"/>
        <v>0.49333333333333335</v>
      </c>
    </row>
    <row r="1091" spans="1:17" x14ac:dyDescent="0.3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  <c r="L1091" t="str">
        <f>VLOOKUP(D1091, Products!A:C, 3, FALSE)</f>
        <v>Sports</v>
      </c>
      <c r="M1091" t="str">
        <f>IFERROR(VLOOKUP(C1091, Customers!A:E, 5, FALSE), "Unknown")</f>
        <v>Retail</v>
      </c>
      <c r="N1091" t="str">
        <f>VLOOKUP(E1091, Sales_Reps!A:C, 3, FALSE)</f>
        <v>North</v>
      </c>
      <c r="O1091">
        <f>VLOOKUP(D1091, Products!A:D, 4, FALSE)</f>
        <v>302</v>
      </c>
      <c r="P1091">
        <f>IFERROR(VLOOKUP(C1091, Customers!A:C, 3, FALSE), 0)</f>
        <v>40</v>
      </c>
      <c r="Q1091">
        <f t="shared" ref="Q1091:Q1154" si="17">(G1091 - O1091) / G1091</f>
        <v>0.35744680851063831</v>
      </c>
    </row>
    <row r="1092" spans="1:17" x14ac:dyDescent="0.3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  <c r="L1092" t="str">
        <f>VLOOKUP(D1092, Products!A:C, 3, FALSE)</f>
        <v>Electronics</v>
      </c>
      <c r="M1092" t="str">
        <f>IFERROR(VLOOKUP(C1092, Customers!A:E, 5, FALSE), "Unknown")</f>
        <v>Retail</v>
      </c>
      <c r="N1092" t="str">
        <f>VLOOKUP(E1092, Sales_Reps!A:C, 3, FALSE)</f>
        <v>South</v>
      </c>
      <c r="O1092">
        <f>VLOOKUP(D1092, Products!A:D, 4, FALSE)</f>
        <v>2865</v>
      </c>
      <c r="P1092">
        <f>IFERROR(VLOOKUP(C1092, Customers!A:C, 3, FALSE), 0)</f>
        <v>28</v>
      </c>
      <c r="Q1092">
        <f t="shared" si="17"/>
        <v>0.27833753148614609</v>
      </c>
    </row>
    <row r="1093" spans="1:17" x14ac:dyDescent="0.3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  <c r="L1093" t="str">
        <f>VLOOKUP(D1093, Products!A:C, 3, FALSE)</f>
        <v>Beauty</v>
      </c>
      <c r="M1093" t="str">
        <f>IFERROR(VLOOKUP(C1093, Customers!A:E, 5, FALSE), "Unknown")</f>
        <v>SMB</v>
      </c>
      <c r="N1093" t="str">
        <f>VLOOKUP(E1093, Sales_Reps!A:C, 3, FALSE)</f>
        <v>South</v>
      </c>
      <c r="O1093">
        <f>VLOOKUP(D1093, Products!A:D, 4, FALSE)</f>
        <v>2237</v>
      </c>
      <c r="P1093">
        <f>IFERROR(VLOOKUP(C1093, Customers!A:C, 3, FALSE), 0)</f>
        <v>44</v>
      </c>
      <c r="Q1093">
        <f t="shared" si="17"/>
        <v>0.56137254901960787</v>
      </c>
    </row>
    <row r="1094" spans="1:17" x14ac:dyDescent="0.3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  <c r="L1094" t="str">
        <f>VLOOKUP(D1094, Products!A:C, 3, FALSE)</f>
        <v>Beauty</v>
      </c>
      <c r="M1094" t="str">
        <f>IFERROR(VLOOKUP(C1094, Customers!A:E, 5, FALSE), "Unknown")</f>
        <v>Retail</v>
      </c>
      <c r="N1094" t="str">
        <f>VLOOKUP(E1094, Sales_Reps!A:C, 3, FALSE)</f>
        <v>North</v>
      </c>
      <c r="O1094">
        <f>VLOOKUP(D1094, Products!A:D, 4, FALSE)</f>
        <v>2420</v>
      </c>
      <c r="P1094">
        <f>IFERROR(VLOOKUP(C1094, Customers!A:C, 3, FALSE), 0)</f>
        <v>57</v>
      </c>
      <c r="Q1094">
        <f t="shared" si="17"/>
        <v>0.29855072463768118</v>
      </c>
    </row>
    <row r="1095" spans="1:17" x14ac:dyDescent="0.3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  <c r="L1095" t="str">
        <f>VLOOKUP(D1095, Products!A:C, 3, FALSE)</f>
        <v>Home</v>
      </c>
      <c r="M1095" t="str">
        <f>IFERROR(VLOOKUP(C1095, Customers!A:E, 5, FALSE), "Unknown")</f>
        <v>Retail</v>
      </c>
      <c r="N1095" t="str">
        <f>VLOOKUP(E1095, Sales_Reps!A:C, 3, FALSE)</f>
        <v>South</v>
      </c>
      <c r="O1095">
        <f>VLOOKUP(D1095, Products!A:D, 4, FALSE)</f>
        <v>2135</v>
      </c>
      <c r="P1095">
        <f>IFERROR(VLOOKUP(C1095, Customers!A:C, 3, FALSE), 0)</f>
        <v>26</v>
      </c>
      <c r="Q1095">
        <f t="shared" si="17"/>
        <v>0.42761394101876676</v>
      </c>
    </row>
    <row r="1096" spans="1:17" x14ac:dyDescent="0.3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  <c r="L1096" t="str">
        <f>VLOOKUP(D1096, Products!A:C, 3, FALSE)</f>
        <v>Beauty</v>
      </c>
      <c r="M1096" t="str">
        <f>IFERROR(VLOOKUP(C1096, Customers!A:E, 5, FALSE), "Unknown")</f>
        <v>Corporate</v>
      </c>
      <c r="N1096" t="str">
        <f>VLOOKUP(E1096, Sales_Reps!A:C, 3, FALSE)</f>
        <v>East</v>
      </c>
      <c r="O1096">
        <f>VLOOKUP(D1096, Products!A:D, 4, FALSE)</f>
        <v>675</v>
      </c>
      <c r="P1096">
        <f>IFERROR(VLOOKUP(C1096, Customers!A:C, 3, FALSE), 0)</f>
        <v>60</v>
      </c>
      <c r="Q1096">
        <f t="shared" si="17"/>
        <v>0.296875</v>
      </c>
    </row>
    <row r="1097" spans="1:17" x14ac:dyDescent="0.3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  <c r="L1097" t="str">
        <f>VLOOKUP(D1097, Products!A:C, 3, FALSE)</f>
        <v>Home</v>
      </c>
      <c r="M1097" t="str">
        <f>IFERROR(VLOOKUP(C1097, Customers!A:E, 5, FALSE), "Unknown")</f>
        <v>SMB</v>
      </c>
      <c r="N1097" t="str">
        <f>VLOOKUP(E1097, Sales_Reps!A:C, 3, FALSE)</f>
        <v>North</v>
      </c>
      <c r="O1097">
        <f>VLOOKUP(D1097, Products!A:D, 4, FALSE)</f>
        <v>2459</v>
      </c>
      <c r="P1097">
        <f>IFERROR(VLOOKUP(C1097, Customers!A:C, 3, FALSE), 0)</f>
        <v>29</v>
      </c>
      <c r="Q1097">
        <f t="shared" si="17"/>
        <v>0.51594488188976373</v>
      </c>
    </row>
    <row r="1098" spans="1:17" x14ac:dyDescent="0.3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  <c r="L1098" t="str">
        <f>VLOOKUP(D1098, Products!A:C, 3, FALSE)</f>
        <v>Electronics</v>
      </c>
      <c r="M1098" t="str">
        <f>IFERROR(VLOOKUP(C1098, Customers!A:E, 5, FALSE), "Unknown")</f>
        <v>Retail</v>
      </c>
      <c r="N1098" t="str">
        <f>VLOOKUP(E1098, Sales_Reps!A:C, 3, FALSE)</f>
        <v>North</v>
      </c>
      <c r="O1098">
        <f>VLOOKUP(D1098, Products!A:D, 4, FALSE)</f>
        <v>1559</v>
      </c>
      <c r="P1098">
        <f>IFERROR(VLOOKUP(C1098, Customers!A:C, 3, FALSE), 0)</f>
        <v>65</v>
      </c>
      <c r="Q1098">
        <f t="shared" si="17"/>
        <v>0.59715762273901807</v>
      </c>
    </row>
    <row r="1099" spans="1:17" x14ac:dyDescent="0.3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  <c r="L1099" t="str">
        <f>VLOOKUP(D1099, Products!A:C, 3, FALSE)</f>
        <v>Sports</v>
      </c>
      <c r="M1099" t="str">
        <f>IFERROR(VLOOKUP(C1099, Customers!A:E, 5, FALSE), "Unknown")</f>
        <v>Corporate</v>
      </c>
      <c r="N1099" t="str">
        <f>VLOOKUP(E1099, Sales_Reps!A:C, 3, FALSE)</f>
        <v>West</v>
      </c>
      <c r="O1099">
        <f>VLOOKUP(D1099, Products!A:D, 4, FALSE)</f>
        <v>1860</v>
      </c>
      <c r="P1099">
        <f>IFERROR(VLOOKUP(C1099, Customers!A:C, 3, FALSE), 0)</f>
        <v>48</v>
      </c>
      <c r="Q1099">
        <f t="shared" si="17"/>
        <v>0.50793650793650791</v>
      </c>
    </row>
    <row r="1100" spans="1:17" x14ac:dyDescent="0.3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  <c r="L1100" t="str">
        <f>VLOOKUP(D1100, Products!A:C, 3, FALSE)</f>
        <v>Electronics</v>
      </c>
      <c r="M1100" t="str">
        <f>IFERROR(VLOOKUP(C1100, Customers!A:E, 5, FALSE), "Unknown")</f>
        <v>Retail</v>
      </c>
      <c r="N1100" t="str">
        <f>VLOOKUP(E1100, Sales_Reps!A:C, 3, FALSE)</f>
        <v>East</v>
      </c>
      <c r="O1100">
        <f>VLOOKUP(D1100, Products!A:D, 4, FALSE)</f>
        <v>1559</v>
      </c>
      <c r="P1100">
        <f>IFERROR(VLOOKUP(C1100, Customers!A:C, 3, FALSE), 0)</f>
        <v>27</v>
      </c>
      <c r="Q1100">
        <f t="shared" si="17"/>
        <v>0.59715762273901807</v>
      </c>
    </row>
    <row r="1101" spans="1:17" x14ac:dyDescent="0.3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  <c r="L1101" t="str">
        <f>VLOOKUP(D1101, Products!A:C, 3, FALSE)</f>
        <v>Home</v>
      </c>
      <c r="M1101" t="str">
        <f>IFERROR(VLOOKUP(C1101, Customers!A:E, 5, FALSE), "Unknown")</f>
        <v>SMB</v>
      </c>
      <c r="N1101" t="str">
        <f>VLOOKUP(E1101, Sales_Reps!A:C, 3, FALSE)</f>
        <v>South</v>
      </c>
      <c r="O1101">
        <f>VLOOKUP(D1101, Products!A:D, 4, FALSE)</f>
        <v>1143</v>
      </c>
      <c r="P1101">
        <f>IFERROR(VLOOKUP(C1101, Customers!A:C, 3, FALSE), 0)</f>
        <v>29</v>
      </c>
      <c r="Q1101">
        <f t="shared" si="17"/>
        <v>0.43694581280788175</v>
      </c>
    </row>
    <row r="1102" spans="1:17" x14ac:dyDescent="0.3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  <c r="L1102" t="str">
        <f>VLOOKUP(D1102, Products!A:C, 3, FALSE)</f>
        <v>Grocery</v>
      </c>
      <c r="M1102" t="str">
        <f>IFERROR(VLOOKUP(C1102, Customers!A:E, 5, FALSE), "Unknown")</f>
        <v>SMB</v>
      </c>
      <c r="N1102" t="str">
        <f>VLOOKUP(E1102, Sales_Reps!A:C, 3, FALSE)</f>
        <v>North</v>
      </c>
      <c r="O1102">
        <f>VLOOKUP(D1102, Products!A:D, 4, FALSE)</f>
        <v>1010</v>
      </c>
      <c r="P1102">
        <f>IFERROR(VLOOKUP(C1102, Customers!A:C, 3, FALSE), 0)</f>
        <v>48</v>
      </c>
      <c r="Q1102">
        <f t="shared" si="17"/>
        <v>0.54298642533936647</v>
      </c>
    </row>
    <row r="1103" spans="1:17" x14ac:dyDescent="0.3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  <c r="L1103" t="str">
        <f>VLOOKUP(D1103, Products!A:C, 3, FALSE)</f>
        <v>Beauty</v>
      </c>
      <c r="M1103" t="str">
        <f>IFERROR(VLOOKUP(C1103, Customers!A:E, 5, FALSE), "Unknown")</f>
        <v>Corporate</v>
      </c>
      <c r="N1103" t="str">
        <f>VLOOKUP(E1103, Sales_Reps!A:C, 3, FALSE)</f>
        <v>East</v>
      </c>
      <c r="O1103">
        <f>VLOOKUP(D1103, Products!A:D, 4, FALSE)</f>
        <v>647</v>
      </c>
      <c r="P1103">
        <f>IFERROR(VLOOKUP(C1103, Customers!A:C, 3, FALSE), 0)</f>
        <v>44</v>
      </c>
      <c r="Q1103">
        <f t="shared" si="17"/>
        <v>0.57987012987012987</v>
      </c>
    </row>
    <row r="1104" spans="1:17" x14ac:dyDescent="0.3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  <c r="L1104" t="str">
        <f>VLOOKUP(D1104, Products!A:C, 3, FALSE)</f>
        <v>Sports</v>
      </c>
      <c r="M1104" t="str">
        <f>IFERROR(VLOOKUP(C1104, Customers!A:E, 5, FALSE), "Unknown")</f>
        <v>Retail</v>
      </c>
      <c r="N1104" t="str">
        <f>VLOOKUP(E1104, Sales_Reps!A:C, 3, FALSE)</f>
        <v>South</v>
      </c>
      <c r="O1104">
        <f>VLOOKUP(D1104, Products!A:D, 4, FALSE)</f>
        <v>516</v>
      </c>
      <c r="P1104">
        <f>IFERROR(VLOOKUP(C1104, Customers!A:C, 3, FALSE), 0)</f>
        <v>43</v>
      </c>
      <c r="Q1104">
        <f t="shared" si="17"/>
        <v>0.4891089108910891</v>
      </c>
    </row>
    <row r="1105" spans="1:17" x14ac:dyDescent="0.3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  <c r="L1105" t="str">
        <f>VLOOKUP(D1105, Products!A:C, 3, FALSE)</f>
        <v>Electronics</v>
      </c>
      <c r="M1105" t="str">
        <f>IFERROR(VLOOKUP(C1105, Customers!A:E, 5, FALSE), "Unknown")</f>
        <v>SMB</v>
      </c>
      <c r="N1105" t="str">
        <f>VLOOKUP(E1105, Sales_Reps!A:C, 3, FALSE)</f>
        <v>South</v>
      </c>
      <c r="O1105">
        <f>VLOOKUP(D1105, Products!A:D, 4, FALSE)</f>
        <v>2405</v>
      </c>
      <c r="P1105">
        <f>IFERROR(VLOOKUP(C1105, Customers!A:C, 3, FALSE), 0)</f>
        <v>35</v>
      </c>
      <c r="Q1105">
        <f t="shared" si="17"/>
        <v>0.54878048780487809</v>
      </c>
    </row>
    <row r="1106" spans="1:17" x14ac:dyDescent="0.3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  <c r="L1106" t="str">
        <f>VLOOKUP(D1106, Products!A:C, 3, FALSE)</f>
        <v>Electronics</v>
      </c>
      <c r="M1106" t="str">
        <f>IFERROR(VLOOKUP(C1106, Customers!A:E, 5, FALSE), "Unknown")</f>
        <v>Corporate</v>
      </c>
      <c r="N1106" t="str">
        <f>VLOOKUP(E1106, Sales_Reps!A:C, 3, FALSE)</f>
        <v>East</v>
      </c>
      <c r="O1106">
        <f>VLOOKUP(D1106, Products!A:D, 4, FALSE)</f>
        <v>1665</v>
      </c>
      <c r="P1106">
        <f>IFERROR(VLOOKUP(C1106, Customers!A:C, 3, FALSE), 0)</f>
        <v>24</v>
      </c>
      <c r="Q1106">
        <f t="shared" si="17"/>
        <v>0.53361344537815125</v>
      </c>
    </row>
    <row r="1107" spans="1:17" x14ac:dyDescent="0.3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  <c r="L1107" t="str">
        <f>VLOOKUP(D1107, Products!A:C, 3, FALSE)</f>
        <v>Beauty</v>
      </c>
      <c r="M1107" t="str">
        <f>IFERROR(VLOOKUP(C1107, Customers!A:E, 5, FALSE), "Unknown")</f>
        <v>SMB</v>
      </c>
      <c r="N1107" t="str">
        <f>VLOOKUP(E1107, Sales_Reps!A:C, 3, FALSE)</f>
        <v>East</v>
      </c>
      <c r="O1107">
        <f>VLOOKUP(D1107, Products!A:D, 4, FALSE)</f>
        <v>1728</v>
      </c>
      <c r="P1107">
        <f>IFERROR(VLOOKUP(C1107, Customers!A:C, 3, FALSE), 0)</f>
        <v>62</v>
      </c>
      <c r="Q1107">
        <f t="shared" si="17"/>
        <v>0.48417910447761192</v>
      </c>
    </row>
    <row r="1108" spans="1:17" x14ac:dyDescent="0.3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  <c r="L1108" t="str">
        <f>VLOOKUP(D1108, Products!A:C, 3, FALSE)</f>
        <v>Apparel</v>
      </c>
      <c r="M1108" t="str">
        <f>IFERROR(VLOOKUP(C1108, Customers!A:E, 5, FALSE), "Unknown")</f>
        <v>Retail</v>
      </c>
      <c r="N1108" t="str">
        <f>VLOOKUP(E1108, Sales_Reps!A:C, 3, FALSE)</f>
        <v>East</v>
      </c>
      <c r="O1108">
        <f>VLOOKUP(D1108, Products!A:D, 4, FALSE)</f>
        <v>1075</v>
      </c>
      <c r="P1108">
        <f>IFERROR(VLOOKUP(C1108, Customers!A:C, 3, FALSE), 0)</f>
        <v>53</v>
      </c>
      <c r="Q1108">
        <f t="shared" si="17"/>
        <v>0.57171314741035861</v>
      </c>
    </row>
    <row r="1109" spans="1:17" x14ac:dyDescent="0.3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  <c r="L1109" t="str">
        <f>VLOOKUP(D1109, Products!A:C, 3, FALSE)</f>
        <v>Grocery</v>
      </c>
      <c r="M1109" t="str">
        <f>IFERROR(VLOOKUP(C1109, Customers!A:E, 5, FALSE), "Unknown")</f>
        <v>Retail</v>
      </c>
      <c r="N1109" t="str">
        <f>VLOOKUP(E1109, Sales_Reps!A:C, 3, FALSE)</f>
        <v>West</v>
      </c>
      <c r="O1109">
        <f>VLOOKUP(D1109, Products!A:D, 4, FALSE)</f>
        <v>434</v>
      </c>
      <c r="P1109">
        <f>IFERROR(VLOOKUP(C1109, Customers!A:C, 3, FALSE), 0)</f>
        <v>54</v>
      </c>
      <c r="Q1109">
        <f t="shared" si="17"/>
        <v>0.5525773195876289</v>
      </c>
    </row>
    <row r="1110" spans="1:17" x14ac:dyDescent="0.3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  <c r="L1110" t="str">
        <f>VLOOKUP(D1110, Products!A:C, 3, FALSE)</f>
        <v>Grocery</v>
      </c>
      <c r="M1110" t="str">
        <f>IFERROR(VLOOKUP(C1110, Customers!A:E, 5, FALSE), "Unknown")</f>
        <v>SMB</v>
      </c>
      <c r="N1110" t="str">
        <f>VLOOKUP(E1110, Sales_Reps!A:C, 3, FALSE)</f>
        <v>North</v>
      </c>
      <c r="O1110">
        <f>VLOOKUP(D1110, Products!A:D, 4, FALSE)</f>
        <v>2436</v>
      </c>
      <c r="P1110">
        <f>IFERROR(VLOOKUP(C1110, Customers!A:C, 3, FALSE), 0)</f>
        <v>64</v>
      </c>
      <c r="Q1110">
        <f t="shared" si="17"/>
        <v>0.35555555555555557</v>
      </c>
    </row>
    <row r="1111" spans="1:17" x14ac:dyDescent="0.3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  <c r="L1111" t="str">
        <f>VLOOKUP(D1111, Products!A:C, 3, FALSE)</f>
        <v>Apparel</v>
      </c>
      <c r="M1111" t="str">
        <f>IFERROR(VLOOKUP(C1111, Customers!A:E, 5, FALSE), "Unknown")</f>
        <v>SMB</v>
      </c>
      <c r="N1111" t="str">
        <f>VLOOKUP(E1111, Sales_Reps!A:C, 3, FALSE)</f>
        <v>North</v>
      </c>
      <c r="O1111">
        <f>VLOOKUP(D1111, Products!A:D, 4, FALSE)</f>
        <v>1075</v>
      </c>
      <c r="P1111">
        <f>IFERROR(VLOOKUP(C1111, Customers!A:C, 3, FALSE), 0)</f>
        <v>35</v>
      </c>
      <c r="Q1111">
        <f t="shared" si="17"/>
        <v>0.57171314741035861</v>
      </c>
    </row>
    <row r="1112" spans="1:17" x14ac:dyDescent="0.3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  <c r="L1112" t="str">
        <f>VLOOKUP(D1112, Products!A:C, 3, FALSE)</f>
        <v>Home</v>
      </c>
      <c r="M1112" t="str">
        <f>IFERROR(VLOOKUP(C1112, Customers!A:E, 5, FALSE), "Unknown")</f>
        <v>Retail</v>
      </c>
      <c r="N1112" t="str">
        <f>VLOOKUP(E1112, Sales_Reps!A:C, 3, FALSE)</f>
        <v>North</v>
      </c>
      <c r="O1112">
        <f>VLOOKUP(D1112, Products!A:D, 4, FALSE)</f>
        <v>1143</v>
      </c>
      <c r="P1112">
        <f>IFERROR(VLOOKUP(C1112, Customers!A:C, 3, FALSE), 0)</f>
        <v>34</v>
      </c>
      <c r="Q1112">
        <f t="shared" si="17"/>
        <v>0.43694581280788175</v>
      </c>
    </row>
    <row r="1113" spans="1:17" x14ac:dyDescent="0.3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  <c r="L1113" t="str">
        <f>VLOOKUP(D1113, Products!A:C, 3, FALSE)</f>
        <v>Sports</v>
      </c>
      <c r="M1113" t="str">
        <f>IFERROR(VLOOKUP(C1113, Customers!A:E, 5, FALSE), "Unknown")</f>
        <v>Retail</v>
      </c>
      <c r="N1113" t="str">
        <f>VLOOKUP(E1113, Sales_Reps!A:C, 3, FALSE)</f>
        <v>South</v>
      </c>
      <c r="O1113">
        <f>VLOOKUP(D1113, Products!A:D, 4, FALSE)</f>
        <v>147</v>
      </c>
      <c r="P1113">
        <f>IFERROR(VLOOKUP(C1113, Customers!A:C, 3, FALSE), 0)</f>
        <v>40</v>
      </c>
      <c r="Q1113">
        <f t="shared" si="17"/>
        <v>0.22631578947368422</v>
      </c>
    </row>
    <row r="1114" spans="1:17" x14ac:dyDescent="0.3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  <c r="L1114" t="str">
        <f>VLOOKUP(D1114, Products!A:C, 3, FALSE)</f>
        <v>Grocery</v>
      </c>
      <c r="M1114" t="str">
        <f>IFERROR(VLOOKUP(C1114, Customers!A:E, 5, FALSE), "Unknown")</f>
        <v>Corporate</v>
      </c>
      <c r="N1114" t="str">
        <f>VLOOKUP(E1114, Sales_Reps!A:C, 3, FALSE)</f>
        <v>East</v>
      </c>
      <c r="O1114">
        <f>VLOOKUP(D1114, Products!A:D, 4, FALSE)</f>
        <v>1010</v>
      </c>
      <c r="P1114">
        <f>IFERROR(VLOOKUP(C1114, Customers!A:C, 3, FALSE), 0)</f>
        <v>38</v>
      </c>
      <c r="Q1114">
        <f t="shared" si="17"/>
        <v>0.54298642533936647</v>
      </c>
    </row>
    <row r="1115" spans="1:17" x14ac:dyDescent="0.3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  <c r="L1115" t="str">
        <f>VLOOKUP(D1115, Products!A:C, 3, FALSE)</f>
        <v>Apparel</v>
      </c>
      <c r="M1115" t="str">
        <f>IFERROR(VLOOKUP(C1115, Customers!A:E, 5, FALSE), "Unknown")</f>
        <v>Retail</v>
      </c>
      <c r="N1115" t="str">
        <f>VLOOKUP(E1115, Sales_Reps!A:C, 3, FALSE)</f>
        <v>North</v>
      </c>
      <c r="O1115">
        <f>VLOOKUP(D1115, Products!A:D, 4, FALSE)</f>
        <v>2611</v>
      </c>
      <c r="P1115">
        <f>IFERROR(VLOOKUP(C1115, Customers!A:C, 3, FALSE), 0)</f>
        <v>44</v>
      </c>
      <c r="Q1115">
        <f t="shared" si="17"/>
        <v>0.28269230769230769</v>
      </c>
    </row>
    <row r="1116" spans="1:17" x14ac:dyDescent="0.3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  <c r="L1116" t="str">
        <f>VLOOKUP(D1116, Products!A:C, 3, FALSE)</f>
        <v>Electronics</v>
      </c>
      <c r="M1116" t="str">
        <f>IFERROR(VLOOKUP(C1116, Customers!A:E, 5, FALSE), "Unknown")</f>
        <v>Retail</v>
      </c>
      <c r="N1116" t="str">
        <f>VLOOKUP(E1116, Sales_Reps!A:C, 3, FALSE)</f>
        <v>South</v>
      </c>
      <c r="O1116">
        <f>VLOOKUP(D1116, Products!A:D, 4, FALSE)</f>
        <v>517</v>
      </c>
      <c r="P1116">
        <f>IFERROR(VLOOKUP(C1116, Customers!A:C, 3, FALSE), 0)</f>
        <v>35</v>
      </c>
      <c r="Q1116">
        <f t="shared" si="17"/>
        <v>0.57622950819672136</v>
      </c>
    </row>
    <row r="1117" spans="1:17" x14ac:dyDescent="0.3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  <c r="L1117" t="str">
        <f>VLOOKUP(D1117, Products!A:C, 3, FALSE)</f>
        <v>Sports</v>
      </c>
      <c r="M1117" t="str">
        <f>IFERROR(VLOOKUP(C1117, Customers!A:E, 5, FALSE), "Unknown")</f>
        <v>Retail</v>
      </c>
      <c r="N1117" t="str">
        <f>VLOOKUP(E1117, Sales_Reps!A:C, 3, FALSE)</f>
        <v>South</v>
      </c>
      <c r="O1117">
        <f>VLOOKUP(D1117, Products!A:D, 4, FALSE)</f>
        <v>2827</v>
      </c>
      <c r="P1117">
        <f>IFERROR(VLOOKUP(C1117, Customers!A:C, 3, FALSE), 0)</f>
        <v>26</v>
      </c>
      <c r="Q1117">
        <f t="shared" si="17"/>
        <v>0.5926512968299712</v>
      </c>
    </row>
    <row r="1118" spans="1:17" x14ac:dyDescent="0.3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  <c r="L1118" t="str">
        <f>VLOOKUP(D1118, Products!A:C, 3, FALSE)</f>
        <v>Sports</v>
      </c>
      <c r="M1118" t="str">
        <f>IFERROR(VLOOKUP(C1118, Customers!A:E, 5, FALSE), "Unknown")</f>
        <v>SMB</v>
      </c>
      <c r="N1118" t="str">
        <f>VLOOKUP(E1118, Sales_Reps!A:C, 3, FALSE)</f>
        <v>South</v>
      </c>
      <c r="O1118">
        <f>VLOOKUP(D1118, Products!A:D, 4, FALSE)</f>
        <v>2028</v>
      </c>
      <c r="P1118">
        <f>IFERROR(VLOOKUP(C1118, Customers!A:C, 3, FALSE), 0)</f>
        <v>38</v>
      </c>
      <c r="Q1118">
        <f t="shared" si="17"/>
        <v>0.29090909090909089</v>
      </c>
    </row>
    <row r="1119" spans="1:17" x14ac:dyDescent="0.3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  <c r="L1119" t="str">
        <f>VLOOKUP(D1119, Products!A:C, 3, FALSE)</f>
        <v>Apparel</v>
      </c>
      <c r="M1119" t="str">
        <f>IFERROR(VLOOKUP(C1119, Customers!A:E, 5, FALSE), "Unknown")</f>
        <v>SMB</v>
      </c>
      <c r="N1119" t="str">
        <f>VLOOKUP(E1119, Sales_Reps!A:C, 3, FALSE)</f>
        <v>East</v>
      </c>
      <c r="O1119">
        <f>VLOOKUP(D1119, Products!A:D, 4, FALSE)</f>
        <v>1962</v>
      </c>
      <c r="P1119">
        <f>IFERROR(VLOOKUP(C1119, Customers!A:C, 3, FALSE), 0)</f>
        <v>52</v>
      </c>
      <c r="Q1119">
        <f t="shared" si="17"/>
        <v>0.2786764705882353</v>
      </c>
    </row>
    <row r="1120" spans="1:17" x14ac:dyDescent="0.3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  <c r="L1120" t="str">
        <f>VLOOKUP(D1120, Products!A:C, 3, FALSE)</f>
        <v>Apparel</v>
      </c>
      <c r="M1120" t="str">
        <f>IFERROR(VLOOKUP(C1120, Customers!A:E, 5, FALSE), "Unknown")</f>
        <v>Retail</v>
      </c>
      <c r="N1120" t="str">
        <f>VLOOKUP(E1120, Sales_Reps!A:C, 3, FALSE)</f>
        <v>North</v>
      </c>
      <c r="O1120">
        <f>VLOOKUP(D1120, Products!A:D, 4, FALSE)</f>
        <v>391</v>
      </c>
      <c r="P1120">
        <f>IFERROR(VLOOKUP(C1120, Customers!A:C, 3, FALSE), 0)</f>
        <v>40</v>
      </c>
      <c r="Q1120">
        <f t="shared" si="17"/>
        <v>0.52317073170731709</v>
      </c>
    </row>
    <row r="1121" spans="1:17" x14ac:dyDescent="0.3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  <c r="L1121" t="str">
        <f>VLOOKUP(D1121, Products!A:C, 3, FALSE)</f>
        <v>Beauty</v>
      </c>
      <c r="M1121" t="str">
        <f>IFERROR(VLOOKUP(C1121, Customers!A:E, 5, FALSE), "Unknown")</f>
        <v>SMB</v>
      </c>
      <c r="N1121" t="str">
        <f>VLOOKUP(E1121, Sales_Reps!A:C, 3, FALSE)</f>
        <v>East</v>
      </c>
      <c r="O1121">
        <f>VLOOKUP(D1121, Products!A:D, 4, FALSE)</f>
        <v>1219</v>
      </c>
      <c r="P1121">
        <f>IFERROR(VLOOKUP(C1121, Customers!A:C, 3, FALSE), 0)</f>
        <v>51</v>
      </c>
      <c r="Q1121">
        <f t="shared" si="17"/>
        <v>0.46768558951965067</v>
      </c>
    </row>
    <row r="1122" spans="1:17" x14ac:dyDescent="0.3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  <c r="L1122" t="str">
        <f>VLOOKUP(D1122, Products!A:C, 3, FALSE)</f>
        <v>Beauty</v>
      </c>
      <c r="M1122" t="str">
        <f>IFERROR(VLOOKUP(C1122, Customers!A:E, 5, FALSE), "Unknown")</f>
        <v>Retail</v>
      </c>
      <c r="N1122" t="str">
        <f>VLOOKUP(E1122, Sales_Reps!A:C, 3, FALSE)</f>
        <v>East</v>
      </c>
      <c r="O1122">
        <f>VLOOKUP(D1122, Products!A:D, 4, FALSE)</f>
        <v>2420</v>
      </c>
      <c r="P1122">
        <f>IFERROR(VLOOKUP(C1122, Customers!A:C, 3, FALSE), 0)</f>
        <v>28</v>
      </c>
      <c r="Q1122">
        <f t="shared" si="17"/>
        <v>0.29855072463768118</v>
      </c>
    </row>
    <row r="1123" spans="1:17" x14ac:dyDescent="0.3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  <c r="L1123" t="str">
        <f>VLOOKUP(D1123, Products!A:C, 3, FALSE)</f>
        <v>Home</v>
      </c>
      <c r="M1123" t="str">
        <f>IFERROR(VLOOKUP(C1123, Customers!A:E, 5, FALSE), "Unknown")</f>
        <v>Retail</v>
      </c>
      <c r="N1123" t="str">
        <f>VLOOKUP(E1123, Sales_Reps!A:C, 3, FALSE)</f>
        <v>North</v>
      </c>
      <c r="O1123">
        <f>VLOOKUP(D1123, Products!A:D, 4, FALSE)</f>
        <v>1143</v>
      </c>
      <c r="P1123">
        <f>IFERROR(VLOOKUP(C1123, Customers!A:C, 3, FALSE), 0)</f>
        <v>42</v>
      </c>
      <c r="Q1123">
        <f t="shared" si="17"/>
        <v>0.43694581280788175</v>
      </c>
    </row>
    <row r="1124" spans="1:17" x14ac:dyDescent="0.3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  <c r="L1124" t="str">
        <f>VLOOKUP(D1124, Products!A:C, 3, FALSE)</f>
        <v>Sports</v>
      </c>
      <c r="M1124" t="str">
        <f>IFERROR(VLOOKUP(C1124, Customers!A:E, 5, FALSE), "Unknown")</f>
        <v>SMB</v>
      </c>
      <c r="N1124" t="str">
        <f>VLOOKUP(E1124, Sales_Reps!A:C, 3, FALSE)</f>
        <v>East</v>
      </c>
      <c r="O1124">
        <f>VLOOKUP(D1124, Products!A:D, 4, FALSE)</f>
        <v>974</v>
      </c>
      <c r="P1124">
        <f>IFERROR(VLOOKUP(C1124, Customers!A:C, 3, FALSE), 0)</f>
        <v>65</v>
      </c>
      <c r="Q1124">
        <f t="shared" si="17"/>
        <v>0.59416666666666662</v>
      </c>
    </row>
    <row r="1125" spans="1:17" x14ac:dyDescent="0.3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  <c r="L1125" t="str">
        <f>VLOOKUP(D1125, Products!A:C, 3, FALSE)</f>
        <v>Home</v>
      </c>
      <c r="M1125" t="str">
        <f>IFERROR(VLOOKUP(C1125, Customers!A:E, 5, FALSE), "Unknown")</f>
        <v>SMB</v>
      </c>
      <c r="N1125" t="str">
        <f>VLOOKUP(E1125, Sales_Reps!A:C, 3, FALSE)</f>
        <v>South</v>
      </c>
      <c r="O1125">
        <f>VLOOKUP(D1125, Products!A:D, 4, FALSE)</f>
        <v>1143</v>
      </c>
      <c r="P1125">
        <f>IFERROR(VLOOKUP(C1125, Customers!A:C, 3, FALSE), 0)</f>
        <v>27</v>
      </c>
      <c r="Q1125">
        <f t="shared" si="17"/>
        <v>0.43694581280788175</v>
      </c>
    </row>
    <row r="1126" spans="1:17" x14ac:dyDescent="0.3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  <c r="L1126" t="str">
        <f>VLOOKUP(D1126, Products!A:C, 3, FALSE)</f>
        <v>Grocery</v>
      </c>
      <c r="M1126" t="str">
        <f>IFERROR(VLOOKUP(C1126, Customers!A:E, 5, FALSE), "Unknown")</f>
        <v>Corporate</v>
      </c>
      <c r="N1126" t="str">
        <f>VLOOKUP(E1126, Sales_Reps!A:C, 3, FALSE)</f>
        <v>North</v>
      </c>
      <c r="O1126">
        <f>VLOOKUP(D1126, Products!A:D, 4, FALSE)</f>
        <v>2911</v>
      </c>
      <c r="P1126">
        <f>IFERROR(VLOOKUP(C1126, Customers!A:C, 3, FALSE), 0)</f>
        <v>55</v>
      </c>
      <c r="Q1126">
        <f t="shared" si="17"/>
        <v>0.28300492610837441</v>
      </c>
    </row>
    <row r="1127" spans="1:17" x14ac:dyDescent="0.3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  <c r="L1127" t="str">
        <f>VLOOKUP(D1127, Products!A:C, 3, FALSE)</f>
        <v>Home</v>
      </c>
      <c r="M1127" t="str">
        <f>IFERROR(VLOOKUP(C1127, Customers!A:E, 5, FALSE), "Unknown")</f>
        <v>SMB</v>
      </c>
      <c r="N1127" t="str">
        <f>VLOOKUP(E1127, Sales_Reps!A:C, 3, FALSE)</f>
        <v>South</v>
      </c>
      <c r="O1127">
        <f>VLOOKUP(D1127, Products!A:D, 4, FALSE)</f>
        <v>1143</v>
      </c>
      <c r="P1127">
        <f>IFERROR(VLOOKUP(C1127, Customers!A:C, 3, FALSE), 0)</f>
        <v>53</v>
      </c>
      <c r="Q1127">
        <f t="shared" si="17"/>
        <v>0.43694581280788175</v>
      </c>
    </row>
    <row r="1128" spans="1:17" x14ac:dyDescent="0.3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  <c r="L1128" t="str">
        <f>VLOOKUP(D1128, Products!A:C, 3, FALSE)</f>
        <v>Beauty</v>
      </c>
      <c r="M1128" t="str">
        <f>IFERROR(VLOOKUP(C1128, Customers!A:E, 5, FALSE), "Unknown")</f>
        <v>Retail</v>
      </c>
      <c r="N1128" t="str">
        <f>VLOOKUP(E1128, Sales_Reps!A:C, 3, FALSE)</f>
        <v>South</v>
      </c>
      <c r="O1128">
        <f>VLOOKUP(D1128, Products!A:D, 4, FALSE)</f>
        <v>1728</v>
      </c>
      <c r="P1128">
        <f>IFERROR(VLOOKUP(C1128, Customers!A:C, 3, FALSE), 0)</f>
        <v>36</v>
      </c>
      <c r="Q1128">
        <f t="shared" si="17"/>
        <v>0.48417910447761192</v>
      </c>
    </row>
    <row r="1129" spans="1:17" x14ac:dyDescent="0.3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  <c r="L1129" t="str">
        <f>VLOOKUP(D1129, Products!A:C, 3, FALSE)</f>
        <v>Home</v>
      </c>
      <c r="M1129" t="str">
        <f>IFERROR(VLOOKUP(C1129, Customers!A:E, 5, FALSE), "Unknown")</f>
        <v>Corporate</v>
      </c>
      <c r="N1129" t="str">
        <f>VLOOKUP(E1129, Sales_Reps!A:C, 3, FALSE)</f>
        <v>North</v>
      </c>
      <c r="O1129">
        <f>VLOOKUP(D1129, Products!A:D, 4, FALSE)</f>
        <v>329</v>
      </c>
      <c r="P1129">
        <f>IFERROR(VLOOKUP(C1129, Customers!A:C, 3, FALSE), 0)</f>
        <v>43</v>
      </c>
      <c r="Q1129">
        <f t="shared" si="17"/>
        <v>0.50151515151515147</v>
      </c>
    </row>
    <row r="1130" spans="1:17" x14ac:dyDescent="0.3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  <c r="L1130" t="str">
        <f>VLOOKUP(D1130, Products!A:C, 3, FALSE)</f>
        <v>Beauty</v>
      </c>
      <c r="M1130" t="str">
        <f>IFERROR(VLOOKUP(C1130, Customers!A:E, 5, FALSE), "Unknown")</f>
        <v>Retail</v>
      </c>
      <c r="N1130" t="str">
        <f>VLOOKUP(E1130, Sales_Reps!A:C, 3, FALSE)</f>
        <v>South</v>
      </c>
      <c r="O1130">
        <f>VLOOKUP(D1130, Products!A:D, 4, FALSE)</f>
        <v>1626</v>
      </c>
      <c r="P1130">
        <f>IFERROR(VLOOKUP(C1130, Customers!A:C, 3, FALSE), 0)</f>
        <v>54</v>
      </c>
      <c r="Q1130">
        <f t="shared" si="17"/>
        <v>0.46158940397350995</v>
      </c>
    </row>
    <row r="1131" spans="1:17" x14ac:dyDescent="0.3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  <c r="L1131" t="str">
        <f>VLOOKUP(D1131, Products!A:C, 3, FALSE)</f>
        <v>Electronics</v>
      </c>
      <c r="M1131" t="str">
        <f>IFERROR(VLOOKUP(C1131, Customers!A:E, 5, FALSE), "Unknown")</f>
        <v>SMB</v>
      </c>
      <c r="N1131" t="str">
        <f>VLOOKUP(E1131, Sales_Reps!A:C, 3, FALSE)</f>
        <v>North</v>
      </c>
      <c r="O1131">
        <f>VLOOKUP(D1131, Products!A:D, 4, FALSE)</f>
        <v>1259</v>
      </c>
      <c r="P1131">
        <f>IFERROR(VLOOKUP(C1131, Customers!A:C, 3, FALSE), 0)</f>
        <v>61</v>
      </c>
      <c r="Q1131">
        <f t="shared" si="17"/>
        <v>0.52669172932330832</v>
      </c>
    </row>
    <row r="1132" spans="1:17" x14ac:dyDescent="0.3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  <c r="L1132" t="str">
        <f>VLOOKUP(D1132, Products!A:C, 3, FALSE)</f>
        <v>Sports</v>
      </c>
      <c r="M1132" t="str">
        <f>IFERROR(VLOOKUP(C1132, Customers!A:E, 5, FALSE), "Unknown")</f>
        <v>Retail</v>
      </c>
      <c r="N1132" t="str">
        <f>VLOOKUP(E1132, Sales_Reps!A:C, 3, FALSE)</f>
        <v>North</v>
      </c>
      <c r="O1132">
        <f>VLOOKUP(D1132, Products!A:D, 4, FALSE)</f>
        <v>516</v>
      </c>
      <c r="P1132">
        <f>IFERROR(VLOOKUP(C1132, Customers!A:C, 3, FALSE), 0)</f>
        <v>49</v>
      </c>
      <c r="Q1132">
        <f t="shared" si="17"/>
        <v>0.4891089108910891</v>
      </c>
    </row>
    <row r="1133" spans="1:17" x14ac:dyDescent="0.3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  <c r="L1133" t="str">
        <f>VLOOKUP(D1133, Products!A:C, 3, FALSE)</f>
        <v>Home</v>
      </c>
      <c r="M1133" t="str">
        <f>IFERROR(VLOOKUP(C1133, Customers!A:E, 5, FALSE), "Unknown")</f>
        <v>Retail</v>
      </c>
      <c r="N1133" t="str">
        <f>VLOOKUP(E1133, Sales_Reps!A:C, 3, FALSE)</f>
        <v>East</v>
      </c>
      <c r="O1133">
        <f>VLOOKUP(D1133, Products!A:D, 4, FALSE)</f>
        <v>2549</v>
      </c>
      <c r="P1133">
        <f>IFERROR(VLOOKUP(C1133, Customers!A:C, 3, FALSE), 0)</f>
        <v>35</v>
      </c>
      <c r="Q1133">
        <f t="shared" si="17"/>
        <v>0.53570127504553733</v>
      </c>
    </row>
    <row r="1134" spans="1:17" x14ac:dyDescent="0.3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  <c r="L1134" t="str">
        <f>VLOOKUP(D1134, Products!A:C, 3, FALSE)</f>
        <v>Sports</v>
      </c>
      <c r="M1134" t="str">
        <f>IFERROR(VLOOKUP(C1134, Customers!A:E, 5, FALSE), "Unknown")</f>
        <v>Retail</v>
      </c>
      <c r="N1134" t="str">
        <f>VLOOKUP(E1134, Sales_Reps!A:C, 3, FALSE)</f>
        <v>East</v>
      </c>
      <c r="O1134">
        <f>VLOOKUP(D1134, Products!A:D, 4, FALSE)</f>
        <v>974</v>
      </c>
      <c r="P1134">
        <f>IFERROR(VLOOKUP(C1134, Customers!A:C, 3, FALSE), 0)</f>
        <v>54</v>
      </c>
      <c r="Q1134">
        <f t="shared" si="17"/>
        <v>0.59416666666666662</v>
      </c>
    </row>
    <row r="1135" spans="1:17" x14ac:dyDescent="0.3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  <c r="L1135" t="str">
        <f>VLOOKUP(D1135, Products!A:C, 3, FALSE)</f>
        <v>Home</v>
      </c>
      <c r="M1135" t="str">
        <f>IFERROR(VLOOKUP(C1135, Customers!A:E, 5, FALSE), "Unknown")</f>
        <v>SMB</v>
      </c>
      <c r="N1135" t="str">
        <f>VLOOKUP(E1135, Sales_Reps!A:C, 3, FALSE)</f>
        <v>South</v>
      </c>
      <c r="O1135">
        <f>VLOOKUP(D1135, Products!A:D, 4, FALSE)</f>
        <v>329</v>
      </c>
      <c r="P1135">
        <f>IFERROR(VLOOKUP(C1135, Customers!A:C, 3, FALSE), 0)</f>
        <v>28</v>
      </c>
      <c r="Q1135">
        <f t="shared" si="17"/>
        <v>0.50151515151515147</v>
      </c>
    </row>
    <row r="1136" spans="1:17" x14ac:dyDescent="0.3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  <c r="L1136" t="str">
        <f>VLOOKUP(D1136, Products!A:C, 3, FALSE)</f>
        <v>Electronics</v>
      </c>
      <c r="M1136" t="str">
        <f>IFERROR(VLOOKUP(C1136, Customers!A:E, 5, FALSE), "Unknown")</f>
        <v>SMB</v>
      </c>
      <c r="N1136" t="str">
        <f>VLOOKUP(E1136, Sales_Reps!A:C, 3, FALSE)</f>
        <v>South</v>
      </c>
      <c r="O1136">
        <f>VLOOKUP(D1136, Products!A:D, 4, FALSE)</f>
        <v>2405</v>
      </c>
      <c r="P1136">
        <f>IFERROR(VLOOKUP(C1136, Customers!A:C, 3, FALSE), 0)</f>
        <v>43</v>
      </c>
      <c r="Q1136">
        <f t="shared" si="17"/>
        <v>0.54878048780487809</v>
      </c>
    </row>
    <row r="1137" spans="1:17" x14ac:dyDescent="0.3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  <c r="L1137" t="str">
        <f>VLOOKUP(D1137, Products!A:C, 3, FALSE)</f>
        <v>Electronics</v>
      </c>
      <c r="M1137" t="str">
        <f>IFERROR(VLOOKUP(C1137, Customers!A:E, 5, FALSE), "Unknown")</f>
        <v>Corporate</v>
      </c>
      <c r="N1137" t="str">
        <f>VLOOKUP(E1137, Sales_Reps!A:C, 3, FALSE)</f>
        <v>North</v>
      </c>
      <c r="O1137">
        <f>VLOOKUP(D1137, Products!A:D, 4, FALSE)</f>
        <v>1052</v>
      </c>
      <c r="P1137">
        <f>IFERROR(VLOOKUP(C1137, Customers!A:C, 3, FALSE), 0)</f>
        <v>30</v>
      </c>
      <c r="Q1137">
        <f t="shared" si="17"/>
        <v>0.5953846153846154</v>
      </c>
    </row>
    <row r="1138" spans="1:17" x14ac:dyDescent="0.3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  <c r="L1138" t="str">
        <f>VLOOKUP(D1138, Products!A:C, 3, FALSE)</f>
        <v>Home</v>
      </c>
      <c r="M1138" t="str">
        <f>IFERROR(VLOOKUP(C1138, Customers!A:E, 5, FALSE), "Unknown")</f>
        <v>Retail</v>
      </c>
      <c r="N1138" t="str">
        <f>VLOOKUP(E1138, Sales_Reps!A:C, 3, FALSE)</f>
        <v>East</v>
      </c>
      <c r="O1138">
        <f>VLOOKUP(D1138, Products!A:D, 4, FALSE)</f>
        <v>2459</v>
      </c>
      <c r="P1138">
        <f>IFERROR(VLOOKUP(C1138, Customers!A:C, 3, FALSE), 0)</f>
        <v>53</v>
      </c>
      <c r="Q1138">
        <f t="shared" si="17"/>
        <v>0.51594488188976373</v>
      </c>
    </row>
    <row r="1139" spans="1:17" x14ac:dyDescent="0.3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  <c r="L1139" t="str">
        <f>VLOOKUP(D1139, Products!A:C, 3, FALSE)</f>
        <v>Grocery</v>
      </c>
      <c r="M1139" t="str">
        <f>IFERROR(VLOOKUP(C1139, Customers!A:E, 5, FALSE), "Unknown")</f>
        <v>Retail</v>
      </c>
      <c r="N1139" t="str">
        <f>VLOOKUP(E1139, Sales_Reps!A:C, 3, FALSE)</f>
        <v>North</v>
      </c>
      <c r="O1139">
        <f>VLOOKUP(D1139, Products!A:D, 4, FALSE)</f>
        <v>1182</v>
      </c>
      <c r="P1139">
        <f>IFERROR(VLOOKUP(C1139, Customers!A:C, 3, FALSE), 0)</f>
        <v>44</v>
      </c>
      <c r="Q1139">
        <f t="shared" si="17"/>
        <v>0.50336134453781511</v>
      </c>
    </row>
    <row r="1140" spans="1:17" x14ac:dyDescent="0.3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  <c r="L1140" t="str">
        <f>VLOOKUP(D1140, Products!A:C, 3, FALSE)</f>
        <v>Beauty</v>
      </c>
      <c r="M1140" t="str">
        <f>IFERROR(VLOOKUP(C1140, Customers!A:E, 5, FALSE), "Unknown")</f>
        <v>Retail</v>
      </c>
      <c r="N1140" t="str">
        <f>VLOOKUP(E1140, Sales_Reps!A:C, 3, FALSE)</f>
        <v>North</v>
      </c>
      <c r="O1140">
        <f>VLOOKUP(D1140, Products!A:D, 4, FALSE)</f>
        <v>2768</v>
      </c>
      <c r="P1140">
        <f>IFERROR(VLOOKUP(C1140, Customers!A:C, 3, FALSE), 0)</f>
        <v>34</v>
      </c>
      <c r="Q1140">
        <f t="shared" si="17"/>
        <v>0.43278688524590164</v>
      </c>
    </row>
    <row r="1141" spans="1:17" x14ac:dyDescent="0.3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  <c r="L1141" t="str">
        <f>VLOOKUP(D1141, Products!A:C, 3, FALSE)</f>
        <v>Beauty</v>
      </c>
      <c r="M1141" t="str">
        <f>IFERROR(VLOOKUP(C1141, Customers!A:E, 5, FALSE), "Unknown")</f>
        <v>SMB</v>
      </c>
      <c r="N1141" t="str">
        <f>VLOOKUP(E1141, Sales_Reps!A:C, 3, FALSE)</f>
        <v>South</v>
      </c>
      <c r="O1141">
        <f>VLOOKUP(D1141, Products!A:D, 4, FALSE)</f>
        <v>1728</v>
      </c>
      <c r="P1141">
        <f>IFERROR(VLOOKUP(C1141, Customers!A:C, 3, FALSE), 0)</f>
        <v>26</v>
      </c>
      <c r="Q1141">
        <f t="shared" si="17"/>
        <v>0.48417910447761192</v>
      </c>
    </row>
    <row r="1142" spans="1:17" x14ac:dyDescent="0.3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  <c r="L1142" t="str">
        <f>VLOOKUP(D1142, Products!A:C, 3, FALSE)</f>
        <v>Grocery</v>
      </c>
      <c r="M1142" t="str">
        <f>IFERROR(VLOOKUP(C1142, Customers!A:E, 5, FALSE), "Unknown")</f>
        <v>Retail</v>
      </c>
      <c r="N1142" t="str">
        <f>VLOOKUP(E1142, Sales_Reps!A:C, 3, FALSE)</f>
        <v>West</v>
      </c>
      <c r="O1142">
        <f>VLOOKUP(D1142, Products!A:D, 4, FALSE)</f>
        <v>434</v>
      </c>
      <c r="P1142">
        <f>IFERROR(VLOOKUP(C1142, Customers!A:C, 3, FALSE), 0)</f>
        <v>35</v>
      </c>
      <c r="Q1142">
        <f t="shared" si="17"/>
        <v>0.5525773195876289</v>
      </c>
    </row>
    <row r="1143" spans="1:17" x14ac:dyDescent="0.3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  <c r="L1143" t="str">
        <f>VLOOKUP(D1143, Products!A:C, 3, FALSE)</f>
        <v>Electronics</v>
      </c>
      <c r="M1143" t="str">
        <f>IFERROR(VLOOKUP(C1143, Customers!A:E, 5, FALSE), "Unknown")</f>
        <v>SMB</v>
      </c>
      <c r="N1143" t="str">
        <f>VLOOKUP(E1143, Sales_Reps!A:C, 3, FALSE)</f>
        <v>East</v>
      </c>
      <c r="O1143">
        <f>VLOOKUP(D1143, Products!A:D, 4, FALSE)</f>
        <v>128</v>
      </c>
      <c r="P1143">
        <f>IFERROR(VLOOKUP(C1143, Customers!A:C, 3, FALSE), 0)</f>
        <v>57</v>
      </c>
      <c r="Q1143">
        <f t="shared" si="17"/>
        <v>0.57333333333333336</v>
      </c>
    </row>
    <row r="1144" spans="1:17" x14ac:dyDescent="0.3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  <c r="L1144" t="str">
        <f>VLOOKUP(D1144, Products!A:C, 3, FALSE)</f>
        <v>Electronics</v>
      </c>
      <c r="M1144" t="str">
        <f>IFERROR(VLOOKUP(C1144, Customers!A:E, 5, FALSE), "Unknown")</f>
        <v>Retail</v>
      </c>
      <c r="N1144" t="str">
        <f>VLOOKUP(E1144, Sales_Reps!A:C, 3, FALSE)</f>
        <v>North</v>
      </c>
      <c r="O1144">
        <f>VLOOKUP(D1144, Products!A:D, 4, FALSE)</f>
        <v>2865</v>
      </c>
      <c r="P1144">
        <f>IFERROR(VLOOKUP(C1144, Customers!A:C, 3, FALSE), 0)</f>
        <v>62</v>
      </c>
      <c r="Q1144">
        <f t="shared" si="17"/>
        <v>0.27833753148614609</v>
      </c>
    </row>
    <row r="1145" spans="1:17" x14ac:dyDescent="0.3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  <c r="L1145" t="str">
        <f>VLOOKUP(D1145, Products!A:C, 3, FALSE)</f>
        <v>Apparel</v>
      </c>
      <c r="M1145" t="str">
        <f>IFERROR(VLOOKUP(C1145, Customers!A:E, 5, FALSE), "Unknown")</f>
        <v>Corporate</v>
      </c>
      <c r="N1145" t="str">
        <f>VLOOKUP(E1145, Sales_Reps!A:C, 3, FALSE)</f>
        <v>South</v>
      </c>
      <c r="O1145">
        <f>VLOOKUP(D1145, Products!A:D, 4, FALSE)</f>
        <v>1962</v>
      </c>
      <c r="P1145">
        <f>IFERROR(VLOOKUP(C1145, Customers!A:C, 3, FALSE), 0)</f>
        <v>46</v>
      </c>
      <c r="Q1145">
        <f t="shared" si="17"/>
        <v>0.2786764705882353</v>
      </c>
    </row>
    <row r="1146" spans="1:17" x14ac:dyDescent="0.3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  <c r="L1146" t="str">
        <f>VLOOKUP(D1146, Products!A:C, 3, FALSE)</f>
        <v>Apparel</v>
      </c>
      <c r="M1146" t="str">
        <f>IFERROR(VLOOKUP(C1146, Customers!A:E, 5, FALSE), "Unknown")</f>
        <v>Retail</v>
      </c>
      <c r="N1146" t="str">
        <f>VLOOKUP(E1146, Sales_Reps!A:C, 3, FALSE)</f>
        <v>East</v>
      </c>
      <c r="O1146">
        <f>VLOOKUP(D1146, Products!A:D, 4, FALSE)</f>
        <v>396</v>
      </c>
      <c r="P1146">
        <f>IFERROR(VLOOKUP(C1146, Customers!A:C, 3, FALSE), 0)</f>
        <v>44</v>
      </c>
      <c r="Q1146">
        <f t="shared" si="17"/>
        <v>0.36129032258064514</v>
      </c>
    </row>
    <row r="1147" spans="1:17" x14ac:dyDescent="0.3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  <c r="L1147" t="str">
        <f>VLOOKUP(D1147, Products!A:C, 3, FALSE)</f>
        <v>Beauty</v>
      </c>
      <c r="M1147" t="str">
        <f>IFERROR(VLOOKUP(C1147, Customers!A:E, 5, FALSE), "Unknown")</f>
        <v>Corporate</v>
      </c>
      <c r="N1147" t="str">
        <f>VLOOKUP(E1147, Sales_Reps!A:C, 3, FALSE)</f>
        <v>West</v>
      </c>
      <c r="O1147">
        <f>VLOOKUP(D1147, Products!A:D, 4, FALSE)</f>
        <v>647</v>
      </c>
      <c r="P1147">
        <f>IFERROR(VLOOKUP(C1147, Customers!A:C, 3, FALSE), 0)</f>
        <v>55</v>
      </c>
      <c r="Q1147">
        <f t="shared" si="17"/>
        <v>0.57987012987012987</v>
      </c>
    </row>
    <row r="1148" spans="1:17" x14ac:dyDescent="0.3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  <c r="L1148" t="str">
        <f>VLOOKUP(D1148, Products!A:C, 3, FALSE)</f>
        <v>Beauty</v>
      </c>
      <c r="M1148" t="str">
        <f>IFERROR(VLOOKUP(C1148, Customers!A:E, 5, FALSE), "Unknown")</f>
        <v>Retail</v>
      </c>
      <c r="N1148" t="str">
        <f>VLOOKUP(E1148, Sales_Reps!A:C, 3, FALSE)</f>
        <v>West</v>
      </c>
      <c r="O1148">
        <f>VLOOKUP(D1148, Products!A:D, 4, FALSE)</f>
        <v>1219</v>
      </c>
      <c r="P1148">
        <f>IFERROR(VLOOKUP(C1148, Customers!A:C, 3, FALSE), 0)</f>
        <v>46</v>
      </c>
      <c r="Q1148">
        <f t="shared" si="17"/>
        <v>0.46768558951965067</v>
      </c>
    </row>
    <row r="1149" spans="1:17" x14ac:dyDescent="0.3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  <c r="L1149" t="str">
        <f>VLOOKUP(D1149, Products!A:C, 3, FALSE)</f>
        <v>Apparel</v>
      </c>
      <c r="M1149" t="str">
        <f>IFERROR(VLOOKUP(C1149, Customers!A:E, 5, FALSE), "Unknown")</f>
        <v>SMB</v>
      </c>
      <c r="N1149" t="str">
        <f>VLOOKUP(E1149, Sales_Reps!A:C, 3, FALSE)</f>
        <v>East</v>
      </c>
      <c r="O1149">
        <f>VLOOKUP(D1149, Products!A:D, 4, FALSE)</f>
        <v>1962</v>
      </c>
      <c r="P1149">
        <f>IFERROR(VLOOKUP(C1149, Customers!A:C, 3, FALSE), 0)</f>
        <v>26</v>
      </c>
      <c r="Q1149">
        <f t="shared" si="17"/>
        <v>0.2786764705882353</v>
      </c>
    </row>
    <row r="1150" spans="1:17" x14ac:dyDescent="0.3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  <c r="L1150" t="str">
        <f>VLOOKUP(D1150, Products!A:C, 3, FALSE)</f>
        <v>Grocery</v>
      </c>
      <c r="M1150" t="str">
        <f>IFERROR(VLOOKUP(C1150, Customers!A:E, 5, FALSE), "Unknown")</f>
        <v>Corporate</v>
      </c>
      <c r="N1150" t="str">
        <f>VLOOKUP(E1150, Sales_Reps!A:C, 3, FALSE)</f>
        <v>East</v>
      </c>
      <c r="O1150">
        <f>VLOOKUP(D1150, Products!A:D, 4, FALSE)</f>
        <v>2911</v>
      </c>
      <c r="P1150">
        <f>IFERROR(VLOOKUP(C1150, Customers!A:C, 3, FALSE), 0)</f>
        <v>25</v>
      </c>
      <c r="Q1150">
        <f t="shared" si="17"/>
        <v>0.28300492610837441</v>
      </c>
    </row>
    <row r="1151" spans="1:17" x14ac:dyDescent="0.3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  <c r="L1151" t="str">
        <f>VLOOKUP(D1151, Products!A:C, 3, FALSE)</f>
        <v>Electronics</v>
      </c>
      <c r="M1151" t="str">
        <f>IFERROR(VLOOKUP(C1151, Customers!A:E, 5, FALSE), "Unknown")</f>
        <v>Retail</v>
      </c>
      <c r="N1151" t="str">
        <f>VLOOKUP(E1151, Sales_Reps!A:C, 3, FALSE)</f>
        <v>South</v>
      </c>
      <c r="O1151">
        <f>VLOOKUP(D1151, Products!A:D, 4, FALSE)</f>
        <v>1665</v>
      </c>
      <c r="P1151">
        <f>IFERROR(VLOOKUP(C1151, Customers!A:C, 3, FALSE), 0)</f>
        <v>26</v>
      </c>
      <c r="Q1151">
        <f t="shared" si="17"/>
        <v>0.53361344537815125</v>
      </c>
    </row>
    <row r="1152" spans="1:17" x14ac:dyDescent="0.3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  <c r="L1152" t="str">
        <f>VLOOKUP(D1152, Products!A:C, 3, FALSE)</f>
        <v>Sports</v>
      </c>
      <c r="M1152" t="str">
        <f>IFERROR(VLOOKUP(C1152, Customers!A:E, 5, FALSE), "Unknown")</f>
        <v>Retail</v>
      </c>
      <c r="N1152" t="str">
        <f>VLOOKUP(E1152, Sales_Reps!A:C, 3, FALSE)</f>
        <v>North</v>
      </c>
      <c r="O1152">
        <f>VLOOKUP(D1152, Products!A:D, 4, FALSE)</f>
        <v>2467</v>
      </c>
      <c r="P1152">
        <f>IFERROR(VLOOKUP(C1152, Customers!A:C, 3, FALSE), 0)</f>
        <v>55</v>
      </c>
      <c r="Q1152">
        <f t="shared" si="17"/>
        <v>0.28492753623188405</v>
      </c>
    </row>
    <row r="1153" spans="1:17" x14ac:dyDescent="0.3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  <c r="L1153" t="str">
        <f>VLOOKUP(D1153, Products!A:C, 3, FALSE)</f>
        <v>Electronics</v>
      </c>
      <c r="M1153" t="str">
        <f>IFERROR(VLOOKUP(C1153, Customers!A:E, 5, FALSE), "Unknown")</f>
        <v>Retail</v>
      </c>
      <c r="N1153" t="str">
        <f>VLOOKUP(E1153, Sales_Reps!A:C, 3, FALSE)</f>
        <v>North</v>
      </c>
      <c r="O1153">
        <f>VLOOKUP(D1153, Products!A:D, 4, FALSE)</f>
        <v>1149</v>
      </c>
      <c r="P1153">
        <f>IFERROR(VLOOKUP(C1153, Customers!A:C, 3, FALSE), 0)</f>
        <v>44</v>
      </c>
      <c r="Q1153">
        <f t="shared" si="17"/>
        <v>0.56477272727272732</v>
      </c>
    </row>
    <row r="1154" spans="1:17" x14ac:dyDescent="0.3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  <c r="L1154" t="str">
        <f>VLOOKUP(D1154, Products!A:C, 3, FALSE)</f>
        <v>Home</v>
      </c>
      <c r="M1154" t="str">
        <f>IFERROR(VLOOKUP(C1154, Customers!A:E, 5, FALSE), "Unknown")</f>
        <v>Retail</v>
      </c>
      <c r="N1154" t="str">
        <f>VLOOKUP(E1154, Sales_Reps!A:C, 3, FALSE)</f>
        <v>South</v>
      </c>
      <c r="O1154">
        <f>VLOOKUP(D1154, Products!A:D, 4, FALSE)</f>
        <v>288</v>
      </c>
      <c r="P1154">
        <f>IFERROR(VLOOKUP(C1154, Customers!A:C, 3, FALSE), 0)</f>
        <v>24</v>
      </c>
      <c r="Q1154">
        <f t="shared" si="17"/>
        <v>0.22162162162162163</v>
      </c>
    </row>
    <row r="1155" spans="1:17" x14ac:dyDescent="0.3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  <c r="L1155" t="str">
        <f>VLOOKUP(D1155, Products!A:C, 3, FALSE)</f>
        <v>Electronics</v>
      </c>
      <c r="M1155" t="str">
        <f>IFERROR(VLOOKUP(C1155, Customers!A:E, 5, FALSE), "Unknown")</f>
        <v>Corporate</v>
      </c>
      <c r="N1155" t="str">
        <f>VLOOKUP(E1155, Sales_Reps!A:C, 3, FALSE)</f>
        <v>West</v>
      </c>
      <c r="O1155">
        <f>VLOOKUP(D1155, Products!A:D, 4, FALSE)</f>
        <v>517</v>
      </c>
      <c r="P1155">
        <f>IFERROR(VLOOKUP(C1155, Customers!A:C, 3, FALSE), 0)</f>
        <v>36</v>
      </c>
      <c r="Q1155">
        <f t="shared" ref="Q1155:Q1218" si="18">(G1155 - O1155) / G1155</f>
        <v>0.57622950819672136</v>
      </c>
    </row>
    <row r="1156" spans="1:17" x14ac:dyDescent="0.3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  <c r="L1156" t="str">
        <f>VLOOKUP(D1156, Products!A:C, 3, FALSE)</f>
        <v>Electronics</v>
      </c>
      <c r="M1156" t="str">
        <f>IFERROR(VLOOKUP(C1156, Customers!A:E, 5, FALSE), "Unknown")</f>
        <v>Retail</v>
      </c>
      <c r="N1156" t="str">
        <f>VLOOKUP(E1156, Sales_Reps!A:C, 3, FALSE)</f>
        <v>East</v>
      </c>
      <c r="O1156">
        <f>VLOOKUP(D1156, Products!A:D, 4, FALSE)</f>
        <v>1149</v>
      </c>
      <c r="P1156">
        <f>IFERROR(VLOOKUP(C1156, Customers!A:C, 3, FALSE), 0)</f>
        <v>29</v>
      </c>
      <c r="Q1156">
        <f t="shared" si="18"/>
        <v>0.56477272727272732</v>
      </c>
    </row>
    <row r="1157" spans="1:17" x14ac:dyDescent="0.3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  <c r="L1157" t="str">
        <f>VLOOKUP(D1157, Products!A:C, 3, FALSE)</f>
        <v>Beauty</v>
      </c>
      <c r="M1157" t="str">
        <f>IFERROR(VLOOKUP(C1157, Customers!A:E, 5, FALSE), "Unknown")</f>
        <v>Retail</v>
      </c>
      <c r="N1157" t="str">
        <f>VLOOKUP(E1157, Sales_Reps!A:C, 3, FALSE)</f>
        <v>South</v>
      </c>
      <c r="O1157">
        <f>VLOOKUP(D1157, Products!A:D, 4, FALSE)</f>
        <v>2237</v>
      </c>
      <c r="P1157">
        <f>IFERROR(VLOOKUP(C1157, Customers!A:C, 3, FALSE), 0)</f>
        <v>36</v>
      </c>
      <c r="Q1157">
        <f t="shared" si="18"/>
        <v>0.56137254901960787</v>
      </c>
    </row>
    <row r="1158" spans="1:17" x14ac:dyDescent="0.3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  <c r="L1158" t="str">
        <f>VLOOKUP(D1158, Products!A:C, 3, FALSE)</f>
        <v>Beauty</v>
      </c>
      <c r="M1158" t="str">
        <f>IFERROR(VLOOKUP(C1158, Customers!A:E, 5, FALSE), "Unknown")</f>
        <v>SMB</v>
      </c>
      <c r="N1158" t="str">
        <f>VLOOKUP(E1158, Sales_Reps!A:C, 3, FALSE)</f>
        <v>North</v>
      </c>
      <c r="O1158">
        <f>VLOOKUP(D1158, Products!A:D, 4, FALSE)</f>
        <v>2617</v>
      </c>
      <c r="P1158">
        <f>IFERROR(VLOOKUP(C1158, Customers!A:C, 3, FALSE), 0)</f>
        <v>26</v>
      </c>
      <c r="Q1158">
        <f t="shared" si="18"/>
        <v>0.56957236842105263</v>
      </c>
    </row>
    <row r="1159" spans="1:17" x14ac:dyDescent="0.3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  <c r="L1159" t="str">
        <f>VLOOKUP(D1159, Products!A:C, 3, FALSE)</f>
        <v>Electronics</v>
      </c>
      <c r="M1159" t="str">
        <f>IFERROR(VLOOKUP(C1159, Customers!A:E, 5, FALSE), "Unknown")</f>
        <v>Corporate</v>
      </c>
      <c r="N1159" t="str">
        <f>VLOOKUP(E1159, Sales_Reps!A:C, 3, FALSE)</f>
        <v>West</v>
      </c>
      <c r="O1159">
        <f>VLOOKUP(D1159, Products!A:D, 4, FALSE)</f>
        <v>128</v>
      </c>
      <c r="P1159">
        <f>IFERROR(VLOOKUP(C1159, Customers!A:C, 3, FALSE), 0)</f>
        <v>29</v>
      </c>
      <c r="Q1159">
        <f t="shared" si="18"/>
        <v>0.57333333333333336</v>
      </c>
    </row>
    <row r="1160" spans="1:17" x14ac:dyDescent="0.3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  <c r="L1160" t="str">
        <f>VLOOKUP(D1160, Products!A:C, 3, FALSE)</f>
        <v>Beauty</v>
      </c>
      <c r="M1160" t="str">
        <f>IFERROR(VLOOKUP(C1160, Customers!A:E, 5, FALSE), "Unknown")</f>
        <v>Retail</v>
      </c>
      <c r="N1160" t="str">
        <f>VLOOKUP(E1160, Sales_Reps!A:C, 3, FALSE)</f>
        <v>East</v>
      </c>
      <c r="O1160">
        <f>VLOOKUP(D1160, Products!A:D, 4, FALSE)</f>
        <v>1626</v>
      </c>
      <c r="P1160">
        <f>IFERROR(VLOOKUP(C1160, Customers!A:C, 3, FALSE), 0)</f>
        <v>44</v>
      </c>
      <c r="Q1160">
        <f t="shared" si="18"/>
        <v>0.46158940397350995</v>
      </c>
    </row>
    <row r="1161" spans="1:17" x14ac:dyDescent="0.3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  <c r="L1161" t="str">
        <f>VLOOKUP(D1161, Products!A:C, 3, FALSE)</f>
        <v>Electronics</v>
      </c>
      <c r="M1161" t="str">
        <f>IFERROR(VLOOKUP(C1161, Customers!A:E, 5, FALSE), "Unknown")</f>
        <v>SMB</v>
      </c>
      <c r="N1161" t="str">
        <f>VLOOKUP(E1161, Sales_Reps!A:C, 3, FALSE)</f>
        <v>East</v>
      </c>
      <c r="O1161">
        <f>VLOOKUP(D1161, Products!A:D, 4, FALSE)</f>
        <v>128</v>
      </c>
      <c r="P1161">
        <f>IFERROR(VLOOKUP(C1161, Customers!A:C, 3, FALSE), 0)</f>
        <v>50</v>
      </c>
      <c r="Q1161">
        <f t="shared" si="18"/>
        <v>0.57333333333333336</v>
      </c>
    </row>
    <row r="1162" spans="1:17" x14ac:dyDescent="0.3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  <c r="L1162" t="str">
        <f>VLOOKUP(D1162, Products!A:C, 3, FALSE)</f>
        <v>Beauty</v>
      </c>
      <c r="M1162" t="str">
        <f>IFERROR(VLOOKUP(C1162, Customers!A:E, 5, FALSE), "Unknown")</f>
        <v>Retail</v>
      </c>
      <c r="N1162" t="str">
        <f>VLOOKUP(E1162, Sales_Reps!A:C, 3, FALSE)</f>
        <v>South</v>
      </c>
      <c r="O1162">
        <f>VLOOKUP(D1162, Products!A:D, 4, FALSE)</f>
        <v>1728</v>
      </c>
      <c r="P1162">
        <f>IFERROR(VLOOKUP(C1162, Customers!A:C, 3, FALSE), 0)</f>
        <v>37</v>
      </c>
      <c r="Q1162">
        <f t="shared" si="18"/>
        <v>0.48417910447761192</v>
      </c>
    </row>
    <row r="1163" spans="1:17" x14ac:dyDescent="0.3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  <c r="L1163" t="str">
        <f>VLOOKUP(D1163, Products!A:C, 3, FALSE)</f>
        <v>Grocery</v>
      </c>
      <c r="M1163" t="str">
        <f>IFERROR(VLOOKUP(C1163, Customers!A:E, 5, FALSE), "Unknown")</f>
        <v>SMB</v>
      </c>
      <c r="N1163" t="str">
        <f>VLOOKUP(E1163, Sales_Reps!A:C, 3, FALSE)</f>
        <v>West</v>
      </c>
      <c r="O1163">
        <f>VLOOKUP(D1163, Products!A:D, 4, FALSE)</f>
        <v>2027</v>
      </c>
      <c r="P1163">
        <f>IFERROR(VLOOKUP(C1163, Customers!A:C, 3, FALSE), 0)</f>
        <v>45</v>
      </c>
      <c r="Q1163">
        <f t="shared" si="18"/>
        <v>0.50196560196560192</v>
      </c>
    </row>
    <row r="1164" spans="1:17" x14ac:dyDescent="0.3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  <c r="L1164" t="str">
        <f>VLOOKUP(D1164, Products!A:C, 3, FALSE)</f>
        <v>Sports</v>
      </c>
      <c r="M1164" t="str">
        <f>IFERROR(VLOOKUP(C1164, Customers!A:E, 5, FALSE), "Unknown")</f>
        <v>SMB</v>
      </c>
      <c r="N1164" t="str">
        <f>VLOOKUP(E1164, Sales_Reps!A:C, 3, FALSE)</f>
        <v>West</v>
      </c>
      <c r="O1164">
        <f>VLOOKUP(D1164, Products!A:D, 4, FALSE)</f>
        <v>1860</v>
      </c>
      <c r="P1164">
        <f>IFERROR(VLOOKUP(C1164, Customers!A:C, 3, FALSE), 0)</f>
        <v>51</v>
      </c>
      <c r="Q1164">
        <f t="shared" si="18"/>
        <v>0.50793650793650791</v>
      </c>
    </row>
    <row r="1165" spans="1:17" x14ac:dyDescent="0.3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  <c r="L1165" t="str">
        <f>VLOOKUP(D1165, Products!A:C, 3, FALSE)</f>
        <v>Home</v>
      </c>
      <c r="M1165" t="str">
        <f>IFERROR(VLOOKUP(C1165, Customers!A:E, 5, FALSE), "Unknown")</f>
        <v>SMB</v>
      </c>
      <c r="N1165" t="str">
        <f>VLOOKUP(E1165, Sales_Reps!A:C, 3, FALSE)</f>
        <v>West</v>
      </c>
      <c r="O1165">
        <f>VLOOKUP(D1165, Products!A:D, 4, FALSE)</f>
        <v>519</v>
      </c>
      <c r="P1165">
        <f>IFERROR(VLOOKUP(C1165, Customers!A:C, 3, FALSE), 0)</f>
        <v>44</v>
      </c>
      <c r="Q1165">
        <f t="shared" si="18"/>
        <v>0.51944444444444449</v>
      </c>
    </row>
    <row r="1166" spans="1:17" x14ac:dyDescent="0.3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  <c r="L1166" t="str">
        <f>VLOOKUP(D1166, Products!A:C, 3, FALSE)</f>
        <v>Electronics</v>
      </c>
      <c r="M1166" t="str">
        <f>IFERROR(VLOOKUP(C1166, Customers!A:E, 5, FALSE), "Unknown")</f>
        <v>Retail</v>
      </c>
      <c r="N1166" t="str">
        <f>VLOOKUP(E1166, Sales_Reps!A:C, 3, FALSE)</f>
        <v>East</v>
      </c>
      <c r="O1166">
        <f>VLOOKUP(D1166, Products!A:D, 4, FALSE)</f>
        <v>1052</v>
      </c>
      <c r="P1166">
        <f>IFERROR(VLOOKUP(C1166, Customers!A:C, 3, FALSE), 0)</f>
        <v>55</v>
      </c>
      <c r="Q1166">
        <f t="shared" si="18"/>
        <v>0.5953846153846154</v>
      </c>
    </row>
    <row r="1167" spans="1:17" x14ac:dyDescent="0.3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  <c r="L1167" t="str">
        <f>VLOOKUP(D1167, Products!A:C, 3, FALSE)</f>
        <v>Apparel</v>
      </c>
      <c r="M1167" t="str">
        <f>IFERROR(VLOOKUP(C1167, Customers!A:E, 5, FALSE), "Unknown")</f>
        <v>Retail</v>
      </c>
      <c r="N1167" t="str">
        <f>VLOOKUP(E1167, Sales_Reps!A:C, 3, FALSE)</f>
        <v>North</v>
      </c>
      <c r="O1167">
        <f>VLOOKUP(D1167, Products!A:D, 4, FALSE)</f>
        <v>1962</v>
      </c>
      <c r="P1167">
        <f>IFERROR(VLOOKUP(C1167, Customers!A:C, 3, FALSE), 0)</f>
        <v>63</v>
      </c>
      <c r="Q1167">
        <f t="shared" si="18"/>
        <v>0.2786764705882353</v>
      </c>
    </row>
    <row r="1168" spans="1:17" x14ac:dyDescent="0.3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  <c r="L1168" t="str">
        <f>VLOOKUP(D1168, Products!A:C, 3, FALSE)</f>
        <v>Grocery</v>
      </c>
      <c r="M1168" t="str">
        <f>IFERROR(VLOOKUP(C1168, Customers!A:E, 5, FALSE), "Unknown")</f>
        <v>SMB</v>
      </c>
      <c r="N1168" t="str">
        <f>VLOOKUP(E1168, Sales_Reps!A:C, 3, FALSE)</f>
        <v>South</v>
      </c>
      <c r="O1168">
        <f>VLOOKUP(D1168, Products!A:D, 4, FALSE)</f>
        <v>2214</v>
      </c>
      <c r="P1168">
        <f>IFERROR(VLOOKUP(C1168, Customers!A:C, 3, FALSE), 0)</f>
        <v>53</v>
      </c>
      <c r="Q1168">
        <f t="shared" si="18"/>
        <v>0.39508196721311473</v>
      </c>
    </row>
    <row r="1169" spans="1:17" x14ac:dyDescent="0.3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  <c r="L1169" t="str">
        <f>VLOOKUP(D1169, Products!A:C, 3, FALSE)</f>
        <v>Beauty</v>
      </c>
      <c r="M1169" t="str">
        <f>IFERROR(VLOOKUP(C1169, Customers!A:E, 5, FALSE), "Unknown")</f>
        <v>Retail</v>
      </c>
      <c r="N1169" t="str">
        <f>VLOOKUP(E1169, Sales_Reps!A:C, 3, FALSE)</f>
        <v>North</v>
      </c>
      <c r="O1169">
        <f>VLOOKUP(D1169, Products!A:D, 4, FALSE)</f>
        <v>1222</v>
      </c>
      <c r="P1169">
        <f>IFERROR(VLOOKUP(C1169, Customers!A:C, 3, FALSE), 0)</f>
        <v>23</v>
      </c>
      <c r="Q1169">
        <f t="shared" si="18"/>
        <v>0.2593939393939394</v>
      </c>
    </row>
    <row r="1170" spans="1:17" x14ac:dyDescent="0.3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  <c r="L1170" t="str">
        <f>VLOOKUP(D1170, Products!A:C, 3, FALSE)</f>
        <v>Sports</v>
      </c>
      <c r="M1170" t="str">
        <f>IFERROR(VLOOKUP(C1170, Customers!A:E, 5, FALSE), "Unknown")</f>
        <v>SMB</v>
      </c>
      <c r="N1170" t="str">
        <f>VLOOKUP(E1170, Sales_Reps!A:C, 3, FALSE)</f>
        <v>East</v>
      </c>
      <c r="O1170">
        <f>VLOOKUP(D1170, Products!A:D, 4, FALSE)</f>
        <v>2028</v>
      </c>
      <c r="P1170">
        <f>IFERROR(VLOOKUP(C1170, Customers!A:C, 3, FALSE), 0)</f>
        <v>65</v>
      </c>
      <c r="Q1170">
        <f t="shared" si="18"/>
        <v>0.29090909090909089</v>
      </c>
    </row>
    <row r="1171" spans="1:17" x14ac:dyDescent="0.3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  <c r="L1171" t="str">
        <f>VLOOKUP(D1171, Products!A:C, 3, FALSE)</f>
        <v>Sports</v>
      </c>
      <c r="M1171" t="str">
        <f>IFERROR(VLOOKUP(C1171, Customers!A:E, 5, FALSE), "Unknown")</f>
        <v>Retail</v>
      </c>
      <c r="N1171" t="str">
        <f>VLOOKUP(E1171, Sales_Reps!A:C, 3, FALSE)</f>
        <v>West</v>
      </c>
      <c r="O1171">
        <f>VLOOKUP(D1171, Products!A:D, 4, FALSE)</f>
        <v>2467</v>
      </c>
      <c r="P1171">
        <f>IFERROR(VLOOKUP(C1171, Customers!A:C, 3, FALSE), 0)</f>
        <v>41</v>
      </c>
      <c r="Q1171">
        <f t="shared" si="18"/>
        <v>0.28492753623188405</v>
      </c>
    </row>
    <row r="1172" spans="1:17" x14ac:dyDescent="0.3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  <c r="L1172" t="str">
        <f>VLOOKUP(D1172, Products!A:C, 3, FALSE)</f>
        <v>Home</v>
      </c>
      <c r="M1172" t="str">
        <f>IFERROR(VLOOKUP(C1172, Customers!A:E, 5, FALSE), "Unknown")</f>
        <v>Retail</v>
      </c>
      <c r="N1172" t="str">
        <f>VLOOKUP(E1172, Sales_Reps!A:C, 3, FALSE)</f>
        <v>North</v>
      </c>
      <c r="O1172">
        <f>VLOOKUP(D1172, Products!A:D, 4, FALSE)</f>
        <v>1143</v>
      </c>
      <c r="P1172">
        <f>IFERROR(VLOOKUP(C1172, Customers!A:C, 3, FALSE), 0)</f>
        <v>44</v>
      </c>
      <c r="Q1172">
        <f t="shared" si="18"/>
        <v>0.43694581280788175</v>
      </c>
    </row>
    <row r="1173" spans="1:17" x14ac:dyDescent="0.3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  <c r="L1173" t="str">
        <f>VLOOKUP(D1173, Products!A:C, 3, FALSE)</f>
        <v>Grocery</v>
      </c>
      <c r="M1173" t="str">
        <f>IFERROR(VLOOKUP(C1173, Customers!A:E, 5, FALSE), "Unknown")</f>
        <v>Retail</v>
      </c>
      <c r="N1173" t="str">
        <f>VLOOKUP(E1173, Sales_Reps!A:C, 3, FALSE)</f>
        <v>South</v>
      </c>
      <c r="O1173">
        <f>VLOOKUP(D1173, Products!A:D, 4, FALSE)</f>
        <v>1412</v>
      </c>
      <c r="P1173">
        <f>IFERROR(VLOOKUP(C1173, Customers!A:C, 3, FALSE), 0)</f>
        <v>22</v>
      </c>
      <c r="Q1173">
        <f t="shared" si="18"/>
        <v>0.37797356828193834</v>
      </c>
    </row>
    <row r="1174" spans="1:17" x14ac:dyDescent="0.3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  <c r="L1174" t="str">
        <f>VLOOKUP(D1174, Products!A:C, 3, FALSE)</f>
        <v>Home</v>
      </c>
      <c r="M1174" t="str">
        <f>IFERROR(VLOOKUP(C1174, Customers!A:E, 5, FALSE), "Unknown")</f>
        <v>Retail</v>
      </c>
      <c r="N1174" t="str">
        <f>VLOOKUP(E1174, Sales_Reps!A:C, 3, FALSE)</f>
        <v>South</v>
      </c>
      <c r="O1174">
        <f>VLOOKUP(D1174, Products!A:D, 4, FALSE)</f>
        <v>2459</v>
      </c>
      <c r="P1174">
        <f>IFERROR(VLOOKUP(C1174, Customers!A:C, 3, FALSE), 0)</f>
        <v>61</v>
      </c>
      <c r="Q1174">
        <f t="shared" si="18"/>
        <v>0.51594488188976373</v>
      </c>
    </row>
    <row r="1175" spans="1:17" x14ac:dyDescent="0.3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  <c r="L1175" t="str">
        <f>VLOOKUP(D1175, Products!A:C, 3, FALSE)</f>
        <v>Grocery</v>
      </c>
      <c r="M1175" t="str">
        <f>IFERROR(VLOOKUP(C1175, Customers!A:E, 5, FALSE), "Unknown")</f>
        <v>Retail</v>
      </c>
      <c r="N1175" t="str">
        <f>VLOOKUP(E1175, Sales_Reps!A:C, 3, FALSE)</f>
        <v>West</v>
      </c>
      <c r="O1175">
        <f>VLOOKUP(D1175, Products!A:D, 4, FALSE)</f>
        <v>2027</v>
      </c>
      <c r="P1175">
        <f>IFERROR(VLOOKUP(C1175, Customers!A:C, 3, FALSE), 0)</f>
        <v>31</v>
      </c>
      <c r="Q1175">
        <f t="shared" si="18"/>
        <v>0.50196560196560192</v>
      </c>
    </row>
    <row r="1176" spans="1:17" x14ac:dyDescent="0.3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  <c r="L1176" t="str">
        <f>VLOOKUP(D1176, Products!A:C, 3, FALSE)</f>
        <v>Beauty</v>
      </c>
      <c r="M1176" t="str">
        <f>IFERROR(VLOOKUP(C1176, Customers!A:E, 5, FALSE), "Unknown")</f>
        <v>SMB</v>
      </c>
      <c r="N1176" t="str">
        <f>VLOOKUP(E1176, Sales_Reps!A:C, 3, FALSE)</f>
        <v>North</v>
      </c>
      <c r="O1176">
        <f>VLOOKUP(D1176, Products!A:D, 4, FALSE)</f>
        <v>647</v>
      </c>
      <c r="P1176">
        <f>IFERROR(VLOOKUP(C1176, Customers!A:C, 3, FALSE), 0)</f>
        <v>64</v>
      </c>
      <c r="Q1176">
        <f t="shared" si="18"/>
        <v>0.57987012987012987</v>
      </c>
    </row>
    <row r="1177" spans="1:17" x14ac:dyDescent="0.3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  <c r="L1177" t="str">
        <f>VLOOKUP(D1177, Products!A:C, 3, FALSE)</f>
        <v>Beauty</v>
      </c>
      <c r="M1177" t="str">
        <f>IFERROR(VLOOKUP(C1177, Customers!A:E, 5, FALSE), "Unknown")</f>
        <v>Retail</v>
      </c>
      <c r="N1177" t="str">
        <f>VLOOKUP(E1177, Sales_Reps!A:C, 3, FALSE)</f>
        <v>West</v>
      </c>
      <c r="O1177">
        <f>VLOOKUP(D1177, Products!A:D, 4, FALSE)</f>
        <v>2237</v>
      </c>
      <c r="P1177">
        <f>IFERROR(VLOOKUP(C1177, Customers!A:C, 3, FALSE), 0)</f>
        <v>48</v>
      </c>
      <c r="Q1177">
        <f t="shared" si="18"/>
        <v>0.56137254901960787</v>
      </c>
    </row>
    <row r="1178" spans="1:17" x14ac:dyDescent="0.3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  <c r="L1178" t="str">
        <f>VLOOKUP(D1178, Products!A:C, 3, FALSE)</f>
        <v>Apparel</v>
      </c>
      <c r="M1178" t="str">
        <f>IFERROR(VLOOKUP(C1178, Customers!A:E, 5, FALSE), "Unknown")</f>
        <v>Corporate</v>
      </c>
      <c r="N1178" t="str">
        <f>VLOOKUP(E1178, Sales_Reps!A:C, 3, FALSE)</f>
        <v>North</v>
      </c>
      <c r="O1178">
        <f>VLOOKUP(D1178, Products!A:D, 4, FALSE)</f>
        <v>2509</v>
      </c>
      <c r="P1178">
        <f>IFERROR(VLOOKUP(C1178, Customers!A:C, 3, FALSE), 0)</f>
        <v>40</v>
      </c>
      <c r="Q1178">
        <f t="shared" si="18"/>
        <v>0.3069060773480663</v>
      </c>
    </row>
    <row r="1179" spans="1:17" x14ac:dyDescent="0.3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  <c r="L1179" t="str">
        <f>VLOOKUP(D1179, Products!A:C, 3, FALSE)</f>
        <v>Beauty</v>
      </c>
      <c r="M1179" t="str">
        <f>IFERROR(VLOOKUP(C1179, Customers!A:E, 5, FALSE), "Unknown")</f>
        <v>Retail</v>
      </c>
      <c r="N1179" t="str">
        <f>VLOOKUP(E1179, Sales_Reps!A:C, 3, FALSE)</f>
        <v>North</v>
      </c>
      <c r="O1179">
        <f>VLOOKUP(D1179, Products!A:D, 4, FALSE)</f>
        <v>2768</v>
      </c>
      <c r="P1179">
        <f>IFERROR(VLOOKUP(C1179, Customers!A:C, 3, FALSE), 0)</f>
        <v>56</v>
      </c>
      <c r="Q1179">
        <f t="shared" si="18"/>
        <v>0.43278688524590164</v>
      </c>
    </row>
    <row r="1180" spans="1:17" x14ac:dyDescent="0.3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  <c r="L1180" t="str">
        <f>VLOOKUP(D1180, Products!A:C, 3, FALSE)</f>
        <v>Electronics</v>
      </c>
      <c r="M1180" t="str">
        <f>IFERROR(VLOOKUP(C1180, Customers!A:E, 5, FALSE), "Unknown")</f>
        <v>SMB</v>
      </c>
      <c r="N1180" t="str">
        <f>VLOOKUP(E1180, Sales_Reps!A:C, 3, FALSE)</f>
        <v>West</v>
      </c>
      <c r="O1180">
        <f>VLOOKUP(D1180, Products!A:D, 4, FALSE)</f>
        <v>1149</v>
      </c>
      <c r="P1180">
        <f>IFERROR(VLOOKUP(C1180, Customers!A:C, 3, FALSE), 0)</f>
        <v>44</v>
      </c>
      <c r="Q1180">
        <f t="shared" si="18"/>
        <v>0.56477272727272732</v>
      </c>
    </row>
    <row r="1181" spans="1:17" x14ac:dyDescent="0.3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  <c r="L1181" t="str">
        <f>VLOOKUP(D1181, Products!A:C, 3, FALSE)</f>
        <v>Grocery</v>
      </c>
      <c r="M1181" t="str">
        <f>IFERROR(VLOOKUP(C1181, Customers!A:E, 5, FALSE), "Unknown")</f>
        <v>Retail</v>
      </c>
      <c r="N1181" t="str">
        <f>VLOOKUP(E1181, Sales_Reps!A:C, 3, FALSE)</f>
        <v>East</v>
      </c>
      <c r="O1181">
        <f>VLOOKUP(D1181, Products!A:D, 4, FALSE)</f>
        <v>2027</v>
      </c>
      <c r="P1181">
        <f>IFERROR(VLOOKUP(C1181, Customers!A:C, 3, FALSE), 0)</f>
        <v>53</v>
      </c>
      <c r="Q1181">
        <f t="shared" si="18"/>
        <v>0.50196560196560192</v>
      </c>
    </row>
    <row r="1182" spans="1:17" x14ac:dyDescent="0.3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  <c r="L1182" t="str">
        <f>VLOOKUP(D1182, Products!A:C, 3, FALSE)</f>
        <v>Electronics</v>
      </c>
      <c r="M1182" t="str">
        <f>IFERROR(VLOOKUP(C1182, Customers!A:E, 5, FALSE), "Unknown")</f>
        <v>Retail</v>
      </c>
      <c r="N1182" t="str">
        <f>VLOOKUP(E1182, Sales_Reps!A:C, 3, FALSE)</f>
        <v>West</v>
      </c>
      <c r="O1182">
        <f>VLOOKUP(D1182, Products!A:D, 4, FALSE)</f>
        <v>1665</v>
      </c>
      <c r="P1182">
        <f>IFERROR(VLOOKUP(C1182, Customers!A:C, 3, FALSE), 0)</f>
        <v>28</v>
      </c>
      <c r="Q1182">
        <f t="shared" si="18"/>
        <v>0.53361344537815125</v>
      </c>
    </row>
    <row r="1183" spans="1:17" x14ac:dyDescent="0.3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  <c r="L1183" t="str">
        <f>VLOOKUP(D1183, Products!A:C, 3, FALSE)</f>
        <v>Beauty</v>
      </c>
      <c r="M1183" t="str">
        <f>IFERROR(VLOOKUP(C1183, Customers!A:E, 5, FALSE), "Unknown")</f>
        <v>SMB</v>
      </c>
      <c r="N1183" t="str">
        <f>VLOOKUP(E1183, Sales_Reps!A:C, 3, FALSE)</f>
        <v>North</v>
      </c>
      <c r="O1183">
        <f>VLOOKUP(D1183, Products!A:D, 4, FALSE)</f>
        <v>1728</v>
      </c>
      <c r="P1183">
        <f>IFERROR(VLOOKUP(C1183, Customers!A:C, 3, FALSE), 0)</f>
        <v>55</v>
      </c>
      <c r="Q1183">
        <f t="shared" si="18"/>
        <v>0.48417910447761192</v>
      </c>
    </row>
    <row r="1184" spans="1:17" x14ac:dyDescent="0.3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  <c r="L1184" t="str">
        <f>VLOOKUP(D1184, Products!A:C, 3, FALSE)</f>
        <v>Sports</v>
      </c>
      <c r="M1184" t="str">
        <f>IFERROR(VLOOKUP(C1184, Customers!A:E, 5, FALSE), "Unknown")</f>
        <v>Retail</v>
      </c>
      <c r="N1184" t="str">
        <f>VLOOKUP(E1184, Sales_Reps!A:C, 3, FALSE)</f>
        <v>West</v>
      </c>
      <c r="O1184">
        <f>VLOOKUP(D1184, Products!A:D, 4, FALSE)</f>
        <v>1860</v>
      </c>
      <c r="P1184">
        <f>IFERROR(VLOOKUP(C1184, Customers!A:C, 3, FALSE), 0)</f>
        <v>24</v>
      </c>
      <c r="Q1184">
        <f t="shared" si="18"/>
        <v>0.50793650793650791</v>
      </c>
    </row>
    <row r="1185" spans="1:17" x14ac:dyDescent="0.3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  <c r="L1185" t="str">
        <f>VLOOKUP(D1185, Products!A:C, 3, FALSE)</f>
        <v>Electronics</v>
      </c>
      <c r="M1185" t="str">
        <f>IFERROR(VLOOKUP(C1185, Customers!A:E, 5, FALSE), "Unknown")</f>
        <v>Corporate</v>
      </c>
      <c r="N1185" t="str">
        <f>VLOOKUP(E1185, Sales_Reps!A:C, 3, FALSE)</f>
        <v>North</v>
      </c>
      <c r="O1185">
        <f>VLOOKUP(D1185, Products!A:D, 4, FALSE)</f>
        <v>1665</v>
      </c>
      <c r="P1185">
        <f>IFERROR(VLOOKUP(C1185, Customers!A:C, 3, FALSE), 0)</f>
        <v>52</v>
      </c>
      <c r="Q1185">
        <f t="shared" si="18"/>
        <v>0.53361344537815125</v>
      </c>
    </row>
    <row r="1186" spans="1:17" x14ac:dyDescent="0.3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  <c r="L1186" t="str">
        <f>VLOOKUP(D1186, Products!A:C, 3, FALSE)</f>
        <v>Sports</v>
      </c>
      <c r="M1186" t="str">
        <f>IFERROR(VLOOKUP(C1186, Customers!A:E, 5, FALSE), "Unknown")</f>
        <v>Retail</v>
      </c>
      <c r="N1186" t="str">
        <f>VLOOKUP(E1186, Sales_Reps!A:C, 3, FALSE)</f>
        <v>West</v>
      </c>
      <c r="O1186">
        <f>VLOOKUP(D1186, Products!A:D, 4, FALSE)</f>
        <v>2028</v>
      </c>
      <c r="P1186">
        <f>IFERROR(VLOOKUP(C1186, Customers!A:C, 3, FALSE), 0)</f>
        <v>44</v>
      </c>
      <c r="Q1186">
        <f t="shared" si="18"/>
        <v>0.29090909090909089</v>
      </c>
    </row>
    <row r="1187" spans="1:17" x14ac:dyDescent="0.3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  <c r="L1187" t="str">
        <f>VLOOKUP(D1187, Products!A:C, 3, FALSE)</f>
        <v>Apparel</v>
      </c>
      <c r="M1187" t="str">
        <f>IFERROR(VLOOKUP(C1187, Customers!A:E, 5, FALSE), "Unknown")</f>
        <v>Retail</v>
      </c>
      <c r="N1187" t="str">
        <f>VLOOKUP(E1187, Sales_Reps!A:C, 3, FALSE)</f>
        <v>North</v>
      </c>
      <c r="O1187">
        <f>VLOOKUP(D1187, Products!A:D, 4, FALSE)</f>
        <v>396</v>
      </c>
      <c r="P1187">
        <f>IFERROR(VLOOKUP(C1187, Customers!A:C, 3, FALSE), 0)</f>
        <v>41</v>
      </c>
      <c r="Q1187">
        <f t="shared" si="18"/>
        <v>0.36129032258064514</v>
      </c>
    </row>
    <row r="1188" spans="1:17" x14ac:dyDescent="0.3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  <c r="L1188" t="str">
        <f>VLOOKUP(D1188, Products!A:C, 3, FALSE)</f>
        <v>Electronics</v>
      </c>
      <c r="M1188" t="str">
        <f>IFERROR(VLOOKUP(C1188, Customers!A:E, 5, FALSE), "Unknown")</f>
        <v>SMB</v>
      </c>
      <c r="N1188" t="str">
        <f>VLOOKUP(E1188, Sales_Reps!A:C, 3, FALSE)</f>
        <v>South</v>
      </c>
      <c r="O1188">
        <f>VLOOKUP(D1188, Products!A:D, 4, FALSE)</f>
        <v>1665</v>
      </c>
      <c r="P1188">
        <f>IFERROR(VLOOKUP(C1188, Customers!A:C, 3, FALSE), 0)</f>
        <v>44</v>
      </c>
      <c r="Q1188">
        <f t="shared" si="18"/>
        <v>0.53361344537815125</v>
      </c>
    </row>
    <row r="1189" spans="1:17" x14ac:dyDescent="0.3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  <c r="L1189" t="str">
        <f>VLOOKUP(D1189, Products!A:C, 3, FALSE)</f>
        <v>Electronics</v>
      </c>
      <c r="M1189" t="str">
        <f>IFERROR(VLOOKUP(C1189, Customers!A:E, 5, FALSE), "Unknown")</f>
        <v>Corporate</v>
      </c>
      <c r="N1189" t="str">
        <f>VLOOKUP(E1189, Sales_Reps!A:C, 3, FALSE)</f>
        <v>South</v>
      </c>
      <c r="O1189">
        <f>VLOOKUP(D1189, Products!A:D, 4, FALSE)</f>
        <v>2405</v>
      </c>
      <c r="P1189">
        <f>IFERROR(VLOOKUP(C1189, Customers!A:C, 3, FALSE), 0)</f>
        <v>41</v>
      </c>
      <c r="Q1189">
        <f t="shared" si="18"/>
        <v>0.54878048780487809</v>
      </c>
    </row>
    <row r="1190" spans="1:17" x14ac:dyDescent="0.3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  <c r="L1190" t="str">
        <f>VLOOKUP(D1190, Products!A:C, 3, FALSE)</f>
        <v>Sports</v>
      </c>
      <c r="M1190" t="str">
        <f>IFERROR(VLOOKUP(C1190, Customers!A:E, 5, FALSE), "Unknown")</f>
        <v>SMB</v>
      </c>
      <c r="N1190" t="str">
        <f>VLOOKUP(E1190, Sales_Reps!A:C, 3, FALSE)</f>
        <v>East</v>
      </c>
      <c r="O1190">
        <f>VLOOKUP(D1190, Products!A:D, 4, FALSE)</f>
        <v>2265</v>
      </c>
      <c r="P1190">
        <f>IFERROR(VLOOKUP(C1190, Customers!A:C, 3, FALSE), 0)</f>
        <v>22</v>
      </c>
      <c r="Q1190">
        <f t="shared" si="18"/>
        <v>0.58133086876155271</v>
      </c>
    </row>
    <row r="1191" spans="1:17" x14ac:dyDescent="0.3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  <c r="L1191" t="str">
        <f>VLOOKUP(D1191, Products!A:C, 3, FALSE)</f>
        <v>Home</v>
      </c>
      <c r="M1191" t="str">
        <f>IFERROR(VLOOKUP(C1191, Customers!A:E, 5, FALSE), "Unknown")</f>
        <v>Retail</v>
      </c>
      <c r="N1191" t="str">
        <f>VLOOKUP(E1191, Sales_Reps!A:C, 3, FALSE)</f>
        <v>South</v>
      </c>
      <c r="O1191">
        <f>VLOOKUP(D1191, Products!A:D, 4, FALSE)</f>
        <v>2459</v>
      </c>
      <c r="P1191">
        <f>IFERROR(VLOOKUP(C1191, Customers!A:C, 3, FALSE), 0)</f>
        <v>42</v>
      </c>
      <c r="Q1191">
        <f t="shared" si="18"/>
        <v>0.51594488188976373</v>
      </c>
    </row>
    <row r="1192" spans="1:17" x14ac:dyDescent="0.3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  <c r="L1192" t="str">
        <f>VLOOKUP(D1192, Products!A:C, 3, FALSE)</f>
        <v>Electronics</v>
      </c>
      <c r="M1192" t="str">
        <f>IFERROR(VLOOKUP(C1192, Customers!A:E, 5, FALSE), "Unknown")</f>
        <v>Retail</v>
      </c>
      <c r="N1192" t="str">
        <f>VLOOKUP(E1192, Sales_Reps!A:C, 3, FALSE)</f>
        <v>North</v>
      </c>
      <c r="O1192">
        <f>VLOOKUP(D1192, Products!A:D, 4, FALSE)</f>
        <v>1665</v>
      </c>
      <c r="P1192">
        <f>IFERROR(VLOOKUP(C1192, Customers!A:C, 3, FALSE), 0)</f>
        <v>24</v>
      </c>
      <c r="Q1192">
        <f t="shared" si="18"/>
        <v>0.53361344537815125</v>
      </c>
    </row>
    <row r="1193" spans="1:17" x14ac:dyDescent="0.3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  <c r="L1193" t="str">
        <f>VLOOKUP(D1193, Products!A:C, 3, FALSE)</f>
        <v>Grocery</v>
      </c>
      <c r="M1193" t="str">
        <f>IFERROR(VLOOKUP(C1193, Customers!A:E, 5, FALSE), "Unknown")</f>
        <v>Retail</v>
      </c>
      <c r="N1193" t="str">
        <f>VLOOKUP(E1193, Sales_Reps!A:C, 3, FALSE)</f>
        <v>East</v>
      </c>
      <c r="O1193">
        <f>VLOOKUP(D1193, Products!A:D, 4, FALSE)</f>
        <v>434</v>
      </c>
      <c r="P1193">
        <f>IFERROR(VLOOKUP(C1193, Customers!A:C, 3, FALSE), 0)</f>
        <v>34</v>
      </c>
      <c r="Q1193">
        <f t="shared" si="18"/>
        <v>0.5525773195876289</v>
      </c>
    </row>
    <row r="1194" spans="1:17" x14ac:dyDescent="0.3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  <c r="L1194" t="str">
        <f>VLOOKUP(D1194, Products!A:C, 3, FALSE)</f>
        <v>Electronics</v>
      </c>
      <c r="M1194" t="str">
        <f>IFERROR(VLOOKUP(C1194, Customers!A:E, 5, FALSE), "Unknown")</f>
        <v>Retail</v>
      </c>
      <c r="N1194" t="str">
        <f>VLOOKUP(E1194, Sales_Reps!A:C, 3, FALSE)</f>
        <v>South</v>
      </c>
      <c r="O1194">
        <f>VLOOKUP(D1194, Products!A:D, 4, FALSE)</f>
        <v>128</v>
      </c>
      <c r="P1194">
        <f>IFERROR(VLOOKUP(C1194, Customers!A:C, 3, FALSE), 0)</f>
        <v>44</v>
      </c>
      <c r="Q1194">
        <f t="shared" si="18"/>
        <v>0.57333333333333336</v>
      </c>
    </row>
    <row r="1195" spans="1:17" x14ac:dyDescent="0.3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  <c r="L1195" t="str">
        <f>VLOOKUP(D1195, Products!A:C, 3, FALSE)</f>
        <v>Beauty</v>
      </c>
      <c r="M1195" t="str">
        <f>IFERROR(VLOOKUP(C1195, Customers!A:E, 5, FALSE), "Unknown")</f>
        <v>SMB</v>
      </c>
      <c r="N1195" t="str">
        <f>VLOOKUP(E1195, Sales_Reps!A:C, 3, FALSE)</f>
        <v>North</v>
      </c>
      <c r="O1195">
        <f>VLOOKUP(D1195, Products!A:D, 4, FALSE)</f>
        <v>2617</v>
      </c>
      <c r="P1195">
        <f>IFERROR(VLOOKUP(C1195, Customers!A:C, 3, FALSE), 0)</f>
        <v>64</v>
      </c>
      <c r="Q1195">
        <f t="shared" si="18"/>
        <v>0.56957236842105263</v>
      </c>
    </row>
    <row r="1196" spans="1:17" x14ac:dyDescent="0.3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  <c r="L1196" t="str">
        <f>VLOOKUP(D1196, Products!A:C, 3, FALSE)</f>
        <v>Beauty</v>
      </c>
      <c r="M1196" t="str">
        <f>IFERROR(VLOOKUP(C1196, Customers!A:E, 5, FALSE), "Unknown")</f>
        <v>SMB</v>
      </c>
      <c r="N1196" t="str">
        <f>VLOOKUP(E1196, Sales_Reps!A:C, 3, FALSE)</f>
        <v>South</v>
      </c>
      <c r="O1196">
        <f>VLOOKUP(D1196, Products!A:D, 4, FALSE)</f>
        <v>2237</v>
      </c>
      <c r="P1196">
        <f>IFERROR(VLOOKUP(C1196, Customers!A:C, 3, FALSE), 0)</f>
        <v>39</v>
      </c>
      <c r="Q1196">
        <f t="shared" si="18"/>
        <v>0.56137254901960787</v>
      </c>
    </row>
    <row r="1197" spans="1:17" x14ac:dyDescent="0.3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  <c r="L1197" t="str">
        <f>VLOOKUP(D1197, Products!A:C, 3, FALSE)</f>
        <v>Apparel</v>
      </c>
      <c r="M1197" t="str">
        <f>IFERROR(VLOOKUP(C1197, Customers!A:E, 5, FALSE), "Unknown")</f>
        <v>Retail</v>
      </c>
      <c r="N1197" t="str">
        <f>VLOOKUP(E1197, Sales_Reps!A:C, 3, FALSE)</f>
        <v>East</v>
      </c>
      <c r="O1197">
        <f>VLOOKUP(D1197, Products!A:D, 4, FALSE)</f>
        <v>1748</v>
      </c>
      <c r="P1197">
        <f>IFERROR(VLOOKUP(C1197, Customers!A:C, 3, FALSE), 0)</f>
        <v>42</v>
      </c>
      <c r="Q1197">
        <f t="shared" si="18"/>
        <v>0.49333333333333335</v>
      </c>
    </row>
    <row r="1198" spans="1:17" x14ac:dyDescent="0.3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  <c r="L1198" t="str">
        <f>VLOOKUP(D1198, Products!A:C, 3, FALSE)</f>
        <v>Apparel</v>
      </c>
      <c r="M1198" t="str">
        <f>IFERROR(VLOOKUP(C1198, Customers!A:E, 5, FALSE), "Unknown")</f>
        <v>Retail</v>
      </c>
      <c r="N1198" t="str">
        <f>VLOOKUP(E1198, Sales_Reps!A:C, 3, FALSE)</f>
        <v>South</v>
      </c>
      <c r="O1198">
        <f>VLOOKUP(D1198, Products!A:D, 4, FALSE)</f>
        <v>1173</v>
      </c>
      <c r="P1198">
        <f>IFERROR(VLOOKUP(C1198, Customers!A:C, 3, FALSE), 0)</f>
        <v>29</v>
      </c>
      <c r="Q1198">
        <f t="shared" si="18"/>
        <v>0.52701612903225803</v>
      </c>
    </row>
    <row r="1199" spans="1:17" x14ac:dyDescent="0.3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  <c r="L1199" t="str">
        <f>VLOOKUP(D1199, Products!A:C, 3, FALSE)</f>
        <v>Sports</v>
      </c>
      <c r="M1199" t="str">
        <f>IFERROR(VLOOKUP(C1199, Customers!A:E, 5, FALSE), "Unknown")</f>
        <v>Corporate</v>
      </c>
      <c r="N1199" t="str">
        <f>VLOOKUP(E1199, Sales_Reps!A:C, 3, FALSE)</f>
        <v>South</v>
      </c>
      <c r="O1199">
        <f>VLOOKUP(D1199, Products!A:D, 4, FALSE)</f>
        <v>147</v>
      </c>
      <c r="P1199">
        <f>IFERROR(VLOOKUP(C1199, Customers!A:C, 3, FALSE), 0)</f>
        <v>55</v>
      </c>
      <c r="Q1199">
        <f t="shared" si="18"/>
        <v>0.22631578947368422</v>
      </c>
    </row>
    <row r="1200" spans="1:17" x14ac:dyDescent="0.3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  <c r="L1200" t="str">
        <f>VLOOKUP(D1200, Products!A:C, 3, FALSE)</f>
        <v>Grocery</v>
      </c>
      <c r="M1200" t="str">
        <f>IFERROR(VLOOKUP(C1200, Customers!A:E, 5, FALSE), "Unknown")</f>
        <v>SMB</v>
      </c>
      <c r="N1200" t="str">
        <f>VLOOKUP(E1200, Sales_Reps!A:C, 3, FALSE)</f>
        <v>East</v>
      </c>
      <c r="O1200">
        <f>VLOOKUP(D1200, Products!A:D, 4, FALSE)</f>
        <v>1412</v>
      </c>
      <c r="P1200">
        <f>IFERROR(VLOOKUP(C1200, Customers!A:C, 3, FALSE), 0)</f>
        <v>44</v>
      </c>
      <c r="Q1200">
        <f t="shared" si="18"/>
        <v>0.37797356828193834</v>
      </c>
    </row>
    <row r="1201" spans="1:17" x14ac:dyDescent="0.3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  <c r="L1201" t="str">
        <f>VLOOKUP(D1201, Products!A:C, 3, FALSE)</f>
        <v>Apparel</v>
      </c>
      <c r="M1201" t="str">
        <f>IFERROR(VLOOKUP(C1201, Customers!A:E, 5, FALSE), "Unknown")</f>
        <v>SMB</v>
      </c>
      <c r="N1201" t="str">
        <f>VLOOKUP(E1201, Sales_Reps!A:C, 3, FALSE)</f>
        <v>West</v>
      </c>
      <c r="O1201">
        <f>VLOOKUP(D1201, Products!A:D, 4, FALSE)</f>
        <v>1075</v>
      </c>
      <c r="P1201">
        <f>IFERROR(VLOOKUP(C1201, Customers!A:C, 3, FALSE), 0)</f>
        <v>26</v>
      </c>
      <c r="Q1201">
        <f t="shared" si="18"/>
        <v>0.57171314741035861</v>
      </c>
    </row>
    <row r="1202" spans="1:17" x14ac:dyDescent="0.3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  <c r="L1202" t="str">
        <f>VLOOKUP(D1202, Products!A:C, 3, FALSE)</f>
        <v>Sports</v>
      </c>
      <c r="M1202" t="str">
        <f>IFERROR(VLOOKUP(C1202, Customers!A:E, 5, FALSE), "Unknown")</f>
        <v>Retail</v>
      </c>
      <c r="N1202" t="str">
        <f>VLOOKUP(E1202, Sales_Reps!A:C, 3, FALSE)</f>
        <v>North</v>
      </c>
      <c r="O1202">
        <f>VLOOKUP(D1202, Products!A:D, 4, FALSE)</f>
        <v>1860</v>
      </c>
      <c r="P1202">
        <f>IFERROR(VLOOKUP(C1202, Customers!A:C, 3, FALSE), 0)</f>
        <v>56</v>
      </c>
      <c r="Q1202">
        <f t="shared" si="18"/>
        <v>0.50793650793650791</v>
      </c>
    </row>
    <row r="1203" spans="1:17" x14ac:dyDescent="0.3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  <c r="L1203" t="str">
        <f>VLOOKUP(D1203, Products!A:C, 3, FALSE)</f>
        <v>Electronics</v>
      </c>
      <c r="M1203" t="str">
        <f>IFERROR(VLOOKUP(C1203, Customers!A:E, 5, FALSE), "Unknown")</f>
        <v>SMB</v>
      </c>
      <c r="N1203" t="str">
        <f>VLOOKUP(E1203, Sales_Reps!A:C, 3, FALSE)</f>
        <v>South</v>
      </c>
      <c r="O1203">
        <f>VLOOKUP(D1203, Products!A:D, 4, FALSE)</f>
        <v>1665</v>
      </c>
      <c r="P1203">
        <f>IFERROR(VLOOKUP(C1203, Customers!A:C, 3, FALSE), 0)</f>
        <v>43</v>
      </c>
      <c r="Q1203">
        <f t="shared" si="18"/>
        <v>0.53361344537815125</v>
      </c>
    </row>
    <row r="1204" spans="1:17" x14ac:dyDescent="0.3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  <c r="L1204" t="str">
        <f>VLOOKUP(D1204, Products!A:C, 3, FALSE)</f>
        <v>Home</v>
      </c>
      <c r="M1204" t="str">
        <f>IFERROR(VLOOKUP(C1204, Customers!A:E, 5, FALSE), "Unknown")</f>
        <v>Corporate</v>
      </c>
      <c r="N1204" t="str">
        <f>VLOOKUP(E1204, Sales_Reps!A:C, 3, FALSE)</f>
        <v>South</v>
      </c>
      <c r="O1204">
        <f>VLOOKUP(D1204, Products!A:D, 4, FALSE)</f>
        <v>329</v>
      </c>
      <c r="P1204">
        <f>IFERROR(VLOOKUP(C1204, Customers!A:C, 3, FALSE), 0)</f>
        <v>48</v>
      </c>
      <c r="Q1204">
        <f t="shared" si="18"/>
        <v>0.50151515151515147</v>
      </c>
    </row>
    <row r="1205" spans="1:17" x14ac:dyDescent="0.3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  <c r="L1205" t="str">
        <f>VLOOKUP(D1205, Products!A:C, 3, FALSE)</f>
        <v>Grocery</v>
      </c>
      <c r="M1205" t="str">
        <f>IFERROR(VLOOKUP(C1205, Customers!A:E, 5, FALSE), "Unknown")</f>
        <v>Retail</v>
      </c>
      <c r="N1205" t="str">
        <f>VLOOKUP(E1205, Sales_Reps!A:C, 3, FALSE)</f>
        <v>South</v>
      </c>
      <c r="O1205">
        <f>VLOOKUP(D1205, Products!A:D, 4, FALSE)</f>
        <v>434</v>
      </c>
      <c r="P1205">
        <f>IFERROR(VLOOKUP(C1205, Customers!A:C, 3, FALSE), 0)</f>
        <v>54</v>
      </c>
      <c r="Q1205">
        <f t="shared" si="18"/>
        <v>0.5525773195876289</v>
      </c>
    </row>
    <row r="1206" spans="1:17" x14ac:dyDescent="0.3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  <c r="L1206" t="str">
        <f>VLOOKUP(D1206, Products!A:C, 3, FALSE)</f>
        <v>Grocery</v>
      </c>
      <c r="M1206" t="str">
        <f>IFERROR(VLOOKUP(C1206, Customers!A:E, 5, FALSE), "Unknown")</f>
        <v>SMB</v>
      </c>
      <c r="N1206" t="str">
        <f>VLOOKUP(E1206, Sales_Reps!A:C, 3, FALSE)</f>
        <v>North</v>
      </c>
      <c r="O1206">
        <f>VLOOKUP(D1206, Products!A:D, 4, FALSE)</f>
        <v>1203</v>
      </c>
      <c r="P1206">
        <f>IFERROR(VLOOKUP(C1206, Customers!A:C, 3, FALSE), 0)</f>
        <v>38</v>
      </c>
      <c r="Q1206">
        <f t="shared" si="18"/>
        <v>0.47004405286343615</v>
      </c>
    </row>
    <row r="1207" spans="1:17" x14ac:dyDescent="0.3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  <c r="L1207" t="str">
        <f>VLOOKUP(D1207, Products!A:C, 3, FALSE)</f>
        <v>Sports</v>
      </c>
      <c r="M1207" t="str">
        <f>IFERROR(VLOOKUP(C1207, Customers!A:E, 5, FALSE), "Unknown")</f>
        <v>SMB</v>
      </c>
      <c r="N1207" t="str">
        <f>VLOOKUP(E1207, Sales_Reps!A:C, 3, FALSE)</f>
        <v>South</v>
      </c>
      <c r="O1207">
        <f>VLOOKUP(D1207, Products!A:D, 4, FALSE)</f>
        <v>974</v>
      </c>
      <c r="P1207">
        <f>IFERROR(VLOOKUP(C1207, Customers!A:C, 3, FALSE), 0)</f>
        <v>65</v>
      </c>
      <c r="Q1207">
        <f t="shared" si="18"/>
        <v>0.59416666666666662</v>
      </c>
    </row>
    <row r="1208" spans="1:17" x14ac:dyDescent="0.3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  <c r="L1208" t="str">
        <f>VLOOKUP(D1208, Products!A:C, 3, FALSE)</f>
        <v>Home</v>
      </c>
      <c r="M1208" t="str">
        <f>IFERROR(VLOOKUP(C1208, Customers!A:E, 5, FALSE), "Unknown")</f>
        <v>SMB</v>
      </c>
      <c r="N1208" t="str">
        <f>VLOOKUP(E1208, Sales_Reps!A:C, 3, FALSE)</f>
        <v>South</v>
      </c>
      <c r="O1208">
        <f>VLOOKUP(D1208, Products!A:D, 4, FALSE)</f>
        <v>2459</v>
      </c>
      <c r="P1208">
        <f>IFERROR(VLOOKUP(C1208, Customers!A:C, 3, FALSE), 0)</f>
        <v>27</v>
      </c>
      <c r="Q1208">
        <f t="shared" si="18"/>
        <v>0.51594488188976373</v>
      </c>
    </row>
    <row r="1209" spans="1:17" x14ac:dyDescent="0.3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  <c r="L1209" t="str">
        <f>VLOOKUP(D1209, Products!A:C, 3, FALSE)</f>
        <v>Beauty</v>
      </c>
      <c r="M1209" t="str">
        <f>IFERROR(VLOOKUP(C1209, Customers!A:E, 5, FALSE), "Unknown")</f>
        <v>Retail</v>
      </c>
      <c r="N1209" t="str">
        <f>VLOOKUP(E1209, Sales_Reps!A:C, 3, FALSE)</f>
        <v>South</v>
      </c>
      <c r="O1209">
        <f>VLOOKUP(D1209, Products!A:D, 4, FALSE)</f>
        <v>1728</v>
      </c>
      <c r="P1209">
        <f>IFERROR(VLOOKUP(C1209, Customers!A:C, 3, FALSE), 0)</f>
        <v>42</v>
      </c>
      <c r="Q1209">
        <f t="shared" si="18"/>
        <v>0.48417910447761192</v>
      </c>
    </row>
    <row r="1210" spans="1:17" x14ac:dyDescent="0.3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  <c r="L1210" t="str">
        <f>VLOOKUP(D1210, Products!A:C, 3, FALSE)</f>
        <v>Beauty</v>
      </c>
      <c r="M1210" t="str">
        <f>IFERROR(VLOOKUP(C1210, Customers!A:E, 5, FALSE), "Unknown")</f>
        <v>Retail</v>
      </c>
      <c r="N1210" t="str">
        <f>VLOOKUP(E1210, Sales_Reps!A:C, 3, FALSE)</f>
        <v>North</v>
      </c>
      <c r="O1210">
        <f>VLOOKUP(D1210, Products!A:D, 4, FALSE)</f>
        <v>647</v>
      </c>
      <c r="P1210">
        <f>IFERROR(VLOOKUP(C1210, Customers!A:C, 3, FALSE), 0)</f>
        <v>22</v>
      </c>
      <c r="Q1210">
        <f t="shared" si="18"/>
        <v>0.57987012987012987</v>
      </c>
    </row>
    <row r="1211" spans="1:17" x14ac:dyDescent="0.3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  <c r="L1211" t="str">
        <f>VLOOKUP(D1211, Products!A:C, 3, FALSE)</f>
        <v>Home</v>
      </c>
      <c r="M1211" t="str">
        <f>IFERROR(VLOOKUP(C1211, Customers!A:E, 5, FALSE), "Unknown")</f>
        <v>Retail</v>
      </c>
      <c r="N1211" t="str">
        <f>VLOOKUP(E1211, Sales_Reps!A:C, 3, FALSE)</f>
        <v>North</v>
      </c>
      <c r="O1211">
        <f>VLOOKUP(D1211, Products!A:D, 4, FALSE)</f>
        <v>2459</v>
      </c>
      <c r="P1211">
        <f>IFERROR(VLOOKUP(C1211, Customers!A:C, 3, FALSE), 0)</f>
        <v>65</v>
      </c>
      <c r="Q1211">
        <f t="shared" si="18"/>
        <v>0.51594488188976373</v>
      </c>
    </row>
    <row r="1212" spans="1:17" x14ac:dyDescent="0.3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  <c r="L1212" t="str">
        <f>VLOOKUP(D1212, Products!A:C, 3, FALSE)</f>
        <v>Apparel</v>
      </c>
      <c r="M1212" t="str">
        <f>IFERROR(VLOOKUP(C1212, Customers!A:E, 5, FALSE), "Unknown")</f>
        <v>Retail</v>
      </c>
      <c r="N1212" t="str">
        <f>VLOOKUP(E1212, Sales_Reps!A:C, 3, FALSE)</f>
        <v>South</v>
      </c>
      <c r="O1212">
        <f>VLOOKUP(D1212, Products!A:D, 4, FALSE)</f>
        <v>2629</v>
      </c>
      <c r="P1212">
        <f>IFERROR(VLOOKUP(C1212, Customers!A:C, 3, FALSE), 0)</f>
        <v>49</v>
      </c>
      <c r="Q1212">
        <f t="shared" si="18"/>
        <v>0.26151685393258428</v>
      </c>
    </row>
    <row r="1213" spans="1:17" x14ac:dyDescent="0.3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  <c r="L1213" t="str">
        <f>VLOOKUP(D1213, Products!A:C, 3, FALSE)</f>
        <v>Home</v>
      </c>
      <c r="M1213" t="str">
        <f>IFERROR(VLOOKUP(C1213, Customers!A:E, 5, FALSE), "Unknown")</f>
        <v>Retail</v>
      </c>
      <c r="N1213" t="str">
        <f>VLOOKUP(E1213, Sales_Reps!A:C, 3, FALSE)</f>
        <v>South</v>
      </c>
      <c r="O1213">
        <f>VLOOKUP(D1213, Products!A:D, 4, FALSE)</f>
        <v>519</v>
      </c>
      <c r="P1213">
        <f>IFERROR(VLOOKUP(C1213, Customers!A:C, 3, FALSE), 0)</f>
        <v>27</v>
      </c>
      <c r="Q1213">
        <f t="shared" si="18"/>
        <v>0.51944444444444449</v>
      </c>
    </row>
    <row r="1214" spans="1:17" x14ac:dyDescent="0.3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  <c r="L1214" t="str">
        <f>VLOOKUP(D1214, Products!A:C, 3, FALSE)</f>
        <v>Grocery</v>
      </c>
      <c r="M1214" t="str">
        <f>IFERROR(VLOOKUP(C1214, Customers!A:E, 5, FALSE), "Unknown")</f>
        <v>Retail</v>
      </c>
      <c r="N1214" t="str">
        <f>VLOOKUP(E1214, Sales_Reps!A:C, 3, FALSE)</f>
        <v>East</v>
      </c>
      <c r="O1214">
        <f>VLOOKUP(D1214, Products!A:D, 4, FALSE)</f>
        <v>1182</v>
      </c>
      <c r="P1214">
        <f>IFERROR(VLOOKUP(C1214, Customers!A:C, 3, FALSE), 0)</f>
        <v>50</v>
      </c>
      <c r="Q1214">
        <f t="shared" si="18"/>
        <v>0.50336134453781511</v>
      </c>
    </row>
    <row r="1215" spans="1:17" x14ac:dyDescent="0.3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  <c r="L1215" t="str">
        <f>VLOOKUP(D1215, Products!A:C, 3, FALSE)</f>
        <v>Apparel</v>
      </c>
      <c r="M1215" t="str">
        <f>IFERROR(VLOOKUP(C1215, Customers!A:E, 5, FALSE), "Unknown")</f>
        <v>SMB</v>
      </c>
      <c r="N1215" t="str">
        <f>VLOOKUP(E1215, Sales_Reps!A:C, 3, FALSE)</f>
        <v>West</v>
      </c>
      <c r="O1215">
        <f>VLOOKUP(D1215, Products!A:D, 4, FALSE)</f>
        <v>1173</v>
      </c>
      <c r="P1215">
        <f>IFERROR(VLOOKUP(C1215, Customers!A:C, 3, FALSE), 0)</f>
        <v>57</v>
      </c>
      <c r="Q1215">
        <f t="shared" si="18"/>
        <v>0.52701612903225803</v>
      </c>
    </row>
    <row r="1216" spans="1:17" x14ac:dyDescent="0.3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  <c r="L1216" t="str">
        <f>VLOOKUP(D1216, Products!A:C, 3, FALSE)</f>
        <v>Beauty</v>
      </c>
      <c r="M1216" t="str">
        <f>IFERROR(VLOOKUP(C1216, Customers!A:E, 5, FALSE), "Unknown")</f>
        <v>SMB</v>
      </c>
      <c r="N1216" t="str">
        <f>VLOOKUP(E1216, Sales_Reps!A:C, 3, FALSE)</f>
        <v>South</v>
      </c>
      <c r="O1216">
        <f>VLOOKUP(D1216, Products!A:D, 4, FALSE)</f>
        <v>1219</v>
      </c>
      <c r="P1216">
        <f>IFERROR(VLOOKUP(C1216, Customers!A:C, 3, FALSE), 0)</f>
        <v>29</v>
      </c>
      <c r="Q1216">
        <f t="shared" si="18"/>
        <v>0.46768558951965067</v>
      </c>
    </row>
    <row r="1217" spans="1:17" x14ac:dyDescent="0.3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  <c r="L1217" t="str">
        <f>VLOOKUP(D1217, Products!A:C, 3, FALSE)</f>
        <v>Apparel</v>
      </c>
      <c r="M1217" t="str">
        <f>IFERROR(VLOOKUP(C1217, Customers!A:E, 5, FALSE), "Unknown")</f>
        <v>Retail</v>
      </c>
      <c r="N1217" t="str">
        <f>VLOOKUP(E1217, Sales_Reps!A:C, 3, FALSE)</f>
        <v>South</v>
      </c>
      <c r="O1217">
        <f>VLOOKUP(D1217, Products!A:D, 4, FALSE)</f>
        <v>1748</v>
      </c>
      <c r="P1217">
        <f>IFERROR(VLOOKUP(C1217, Customers!A:C, 3, FALSE), 0)</f>
        <v>44</v>
      </c>
      <c r="Q1217">
        <f t="shared" si="18"/>
        <v>0.49333333333333335</v>
      </c>
    </row>
    <row r="1218" spans="1:17" x14ac:dyDescent="0.3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  <c r="L1218" t="str">
        <f>VLOOKUP(D1218, Products!A:C, 3, FALSE)</f>
        <v>Beauty</v>
      </c>
      <c r="M1218" t="str">
        <f>IFERROR(VLOOKUP(C1218, Customers!A:E, 5, FALSE), "Unknown")</f>
        <v>SMB</v>
      </c>
      <c r="N1218" t="str">
        <f>VLOOKUP(E1218, Sales_Reps!A:C, 3, FALSE)</f>
        <v>West</v>
      </c>
      <c r="O1218">
        <f>VLOOKUP(D1218, Products!A:D, 4, FALSE)</f>
        <v>2420</v>
      </c>
      <c r="P1218">
        <f>IFERROR(VLOOKUP(C1218, Customers!A:C, 3, FALSE), 0)</f>
        <v>27</v>
      </c>
      <c r="Q1218">
        <f t="shared" si="18"/>
        <v>0.29855072463768118</v>
      </c>
    </row>
    <row r="1219" spans="1:17" x14ac:dyDescent="0.3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  <c r="L1219" t="str">
        <f>VLOOKUP(D1219, Products!A:C, 3, FALSE)</f>
        <v>Electronics</v>
      </c>
      <c r="M1219" t="str">
        <f>IFERROR(VLOOKUP(C1219, Customers!A:E, 5, FALSE), "Unknown")</f>
        <v>Corporate</v>
      </c>
      <c r="N1219" t="str">
        <f>VLOOKUP(E1219, Sales_Reps!A:C, 3, FALSE)</f>
        <v>West</v>
      </c>
      <c r="O1219">
        <f>VLOOKUP(D1219, Products!A:D, 4, FALSE)</f>
        <v>1052</v>
      </c>
      <c r="P1219">
        <f>IFERROR(VLOOKUP(C1219, Customers!A:C, 3, FALSE), 0)</f>
        <v>59</v>
      </c>
      <c r="Q1219">
        <f t="shared" ref="Q1219:Q1282" si="19">(G1219 - O1219) / G1219</f>
        <v>0.5953846153846154</v>
      </c>
    </row>
    <row r="1220" spans="1:17" x14ac:dyDescent="0.3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  <c r="L1220" t="str">
        <f>VLOOKUP(D1220, Products!A:C, 3, FALSE)</f>
        <v>Grocery</v>
      </c>
      <c r="M1220" t="str">
        <f>IFERROR(VLOOKUP(C1220, Customers!A:E, 5, FALSE), "Unknown")</f>
        <v>SMB</v>
      </c>
      <c r="N1220" t="str">
        <f>VLOOKUP(E1220, Sales_Reps!A:C, 3, FALSE)</f>
        <v>West</v>
      </c>
      <c r="O1220">
        <f>VLOOKUP(D1220, Products!A:D, 4, FALSE)</f>
        <v>1435</v>
      </c>
      <c r="P1220">
        <f>IFERROR(VLOOKUP(C1220, Customers!A:C, 3, FALSE), 0)</f>
        <v>49</v>
      </c>
      <c r="Q1220">
        <f t="shared" si="19"/>
        <v>0.48007246376811596</v>
      </c>
    </row>
    <row r="1221" spans="1:17" x14ac:dyDescent="0.3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  <c r="L1221" t="str">
        <f>VLOOKUP(D1221, Products!A:C, 3, FALSE)</f>
        <v>Home</v>
      </c>
      <c r="M1221" t="str">
        <f>IFERROR(VLOOKUP(C1221, Customers!A:E, 5, FALSE), "Unknown")</f>
        <v>Corporate</v>
      </c>
      <c r="N1221" t="str">
        <f>VLOOKUP(E1221, Sales_Reps!A:C, 3, FALSE)</f>
        <v>North</v>
      </c>
      <c r="O1221">
        <f>VLOOKUP(D1221, Products!A:D, 4, FALSE)</f>
        <v>1850</v>
      </c>
      <c r="P1221">
        <f>IFERROR(VLOOKUP(C1221, Customers!A:C, 3, FALSE), 0)</f>
        <v>26</v>
      </c>
      <c r="Q1221">
        <f t="shared" si="19"/>
        <v>0.59869848156182215</v>
      </c>
    </row>
    <row r="1222" spans="1:17" x14ac:dyDescent="0.3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  <c r="L1222" t="str">
        <f>VLOOKUP(D1222, Products!A:C, 3, FALSE)</f>
        <v>Apparel</v>
      </c>
      <c r="M1222" t="str">
        <f>IFERROR(VLOOKUP(C1222, Customers!A:E, 5, FALSE), "Unknown")</f>
        <v>Retail</v>
      </c>
      <c r="N1222" t="str">
        <f>VLOOKUP(E1222, Sales_Reps!A:C, 3, FALSE)</f>
        <v>West</v>
      </c>
      <c r="O1222">
        <f>VLOOKUP(D1222, Products!A:D, 4, FALSE)</f>
        <v>1173</v>
      </c>
      <c r="P1222">
        <f>IFERROR(VLOOKUP(C1222, Customers!A:C, 3, FALSE), 0)</f>
        <v>60</v>
      </c>
      <c r="Q1222">
        <f t="shared" si="19"/>
        <v>0.52701612903225803</v>
      </c>
    </row>
    <row r="1223" spans="1:17" x14ac:dyDescent="0.3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  <c r="L1223" t="str">
        <f>VLOOKUP(D1223, Products!A:C, 3, FALSE)</f>
        <v>Sports</v>
      </c>
      <c r="M1223" t="str">
        <f>IFERROR(VLOOKUP(C1223, Customers!A:E, 5, FALSE), "Unknown")</f>
        <v>SMB</v>
      </c>
      <c r="N1223" t="str">
        <f>VLOOKUP(E1223, Sales_Reps!A:C, 3, FALSE)</f>
        <v>South</v>
      </c>
      <c r="O1223">
        <f>VLOOKUP(D1223, Products!A:D, 4, FALSE)</f>
        <v>2827</v>
      </c>
      <c r="P1223">
        <f>IFERROR(VLOOKUP(C1223, Customers!A:C, 3, FALSE), 0)</f>
        <v>29</v>
      </c>
      <c r="Q1223">
        <f t="shared" si="19"/>
        <v>0.5926512968299712</v>
      </c>
    </row>
    <row r="1224" spans="1:17" x14ac:dyDescent="0.3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  <c r="L1224" t="str">
        <f>VLOOKUP(D1224, Products!A:C, 3, FALSE)</f>
        <v>Grocery</v>
      </c>
      <c r="M1224" t="str">
        <f>IFERROR(VLOOKUP(C1224, Customers!A:E, 5, FALSE), "Unknown")</f>
        <v>SMB</v>
      </c>
      <c r="N1224" t="str">
        <f>VLOOKUP(E1224, Sales_Reps!A:C, 3, FALSE)</f>
        <v>East</v>
      </c>
      <c r="O1224">
        <f>VLOOKUP(D1224, Products!A:D, 4, FALSE)</f>
        <v>1412</v>
      </c>
      <c r="P1224">
        <f>IFERROR(VLOOKUP(C1224, Customers!A:C, 3, FALSE), 0)</f>
        <v>48</v>
      </c>
      <c r="Q1224">
        <f t="shared" si="19"/>
        <v>0.37797356828193834</v>
      </c>
    </row>
    <row r="1225" spans="1:17" x14ac:dyDescent="0.3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  <c r="L1225" t="str">
        <f>VLOOKUP(D1225, Products!A:C, 3, FALSE)</f>
        <v>Beauty</v>
      </c>
      <c r="M1225" t="str">
        <f>IFERROR(VLOOKUP(C1225, Customers!A:E, 5, FALSE), "Unknown")</f>
        <v>SMB</v>
      </c>
      <c r="N1225" t="str">
        <f>VLOOKUP(E1225, Sales_Reps!A:C, 3, FALSE)</f>
        <v>West</v>
      </c>
      <c r="O1225">
        <f>VLOOKUP(D1225, Products!A:D, 4, FALSE)</f>
        <v>2237</v>
      </c>
      <c r="P1225">
        <f>IFERROR(VLOOKUP(C1225, Customers!A:C, 3, FALSE), 0)</f>
        <v>36</v>
      </c>
      <c r="Q1225">
        <f t="shared" si="19"/>
        <v>0.56137254901960787</v>
      </c>
    </row>
    <row r="1226" spans="1:17" x14ac:dyDescent="0.3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  <c r="L1226" t="str">
        <f>VLOOKUP(D1226, Products!A:C, 3, FALSE)</f>
        <v>Home</v>
      </c>
      <c r="M1226" t="str">
        <f>IFERROR(VLOOKUP(C1226, Customers!A:E, 5, FALSE), "Unknown")</f>
        <v>SMB</v>
      </c>
      <c r="N1226" t="str">
        <f>VLOOKUP(E1226, Sales_Reps!A:C, 3, FALSE)</f>
        <v>South</v>
      </c>
      <c r="O1226">
        <f>VLOOKUP(D1226, Products!A:D, 4, FALSE)</f>
        <v>1556</v>
      </c>
      <c r="P1226">
        <f>IFERROR(VLOOKUP(C1226, Customers!A:C, 3, FALSE), 0)</f>
        <v>43</v>
      </c>
      <c r="Q1226">
        <f t="shared" si="19"/>
        <v>0.52123076923076928</v>
      </c>
    </row>
    <row r="1227" spans="1:17" x14ac:dyDescent="0.3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  <c r="L1227" t="str">
        <f>VLOOKUP(D1227, Products!A:C, 3, FALSE)</f>
        <v>Electronics</v>
      </c>
      <c r="M1227" t="str">
        <f>IFERROR(VLOOKUP(C1227, Customers!A:E, 5, FALSE), "Unknown")</f>
        <v>Retail</v>
      </c>
      <c r="N1227" t="str">
        <f>VLOOKUP(E1227, Sales_Reps!A:C, 3, FALSE)</f>
        <v>North</v>
      </c>
      <c r="O1227">
        <f>VLOOKUP(D1227, Products!A:D, 4, FALSE)</f>
        <v>2865</v>
      </c>
      <c r="P1227">
        <f>IFERROR(VLOOKUP(C1227, Customers!A:C, 3, FALSE), 0)</f>
        <v>59</v>
      </c>
      <c r="Q1227">
        <f t="shared" si="19"/>
        <v>0.27833753148614609</v>
      </c>
    </row>
    <row r="1228" spans="1:17" x14ac:dyDescent="0.3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  <c r="L1228" t="str">
        <f>VLOOKUP(D1228, Products!A:C, 3, FALSE)</f>
        <v>Electronics</v>
      </c>
      <c r="M1228" t="str">
        <f>IFERROR(VLOOKUP(C1228, Customers!A:E, 5, FALSE), "Unknown")</f>
        <v>Corporate</v>
      </c>
      <c r="N1228" t="str">
        <f>VLOOKUP(E1228, Sales_Reps!A:C, 3, FALSE)</f>
        <v>West</v>
      </c>
      <c r="O1228">
        <f>VLOOKUP(D1228, Products!A:D, 4, FALSE)</f>
        <v>2405</v>
      </c>
      <c r="P1228">
        <f>IFERROR(VLOOKUP(C1228, Customers!A:C, 3, FALSE), 0)</f>
        <v>52</v>
      </c>
      <c r="Q1228">
        <f t="shared" si="19"/>
        <v>0.54878048780487809</v>
      </c>
    </row>
    <row r="1229" spans="1:17" x14ac:dyDescent="0.3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  <c r="L1229" t="str">
        <f>VLOOKUP(D1229, Products!A:C, 3, FALSE)</f>
        <v>Electronics</v>
      </c>
      <c r="M1229" t="str">
        <f>IFERROR(VLOOKUP(C1229, Customers!A:E, 5, FALSE), "Unknown")</f>
        <v>Retail</v>
      </c>
      <c r="N1229" t="str">
        <f>VLOOKUP(E1229, Sales_Reps!A:C, 3, FALSE)</f>
        <v>North</v>
      </c>
      <c r="O1229">
        <f>VLOOKUP(D1229, Products!A:D, 4, FALSE)</f>
        <v>1259</v>
      </c>
      <c r="P1229">
        <f>IFERROR(VLOOKUP(C1229, Customers!A:C, 3, FALSE), 0)</f>
        <v>42</v>
      </c>
      <c r="Q1229">
        <f t="shared" si="19"/>
        <v>0.52669172932330832</v>
      </c>
    </row>
    <row r="1230" spans="1:17" x14ac:dyDescent="0.3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  <c r="L1230" t="str">
        <f>VLOOKUP(D1230, Products!A:C, 3, FALSE)</f>
        <v>Apparel</v>
      </c>
      <c r="M1230" t="str">
        <f>IFERROR(VLOOKUP(C1230, Customers!A:E, 5, FALSE), "Unknown")</f>
        <v>Retail</v>
      </c>
      <c r="N1230" t="str">
        <f>VLOOKUP(E1230, Sales_Reps!A:C, 3, FALSE)</f>
        <v>West</v>
      </c>
      <c r="O1230">
        <f>VLOOKUP(D1230, Products!A:D, 4, FALSE)</f>
        <v>1886</v>
      </c>
      <c r="P1230">
        <f>IFERROR(VLOOKUP(C1230, Customers!A:C, 3, FALSE), 0)</f>
        <v>39</v>
      </c>
      <c r="Q1230">
        <f t="shared" si="19"/>
        <v>0.4031645569620253</v>
      </c>
    </row>
    <row r="1231" spans="1:17" x14ac:dyDescent="0.3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  <c r="L1231" t="str">
        <f>VLOOKUP(D1231, Products!A:C, 3, FALSE)</f>
        <v>Sports</v>
      </c>
      <c r="M1231" t="str">
        <f>IFERROR(VLOOKUP(C1231, Customers!A:E, 5, FALSE), "Unknown")</f>
        <v>Corporate</v>
      </c>
      <c r="N1231" t="str">
        <f>VLOOKUP(E1231, Sales_Reps!A:C, 3, FALSE)</f>
        <v>East</v>
      </c>
      <c r="O1231">
        <f>VLOOKUP(D1231, Products!A:D, 4, FALSE)</f>
        <v>516</v>
      </c>
      <c r="P1231">
        <f>IFERROR(VLOOKUP(C1231, Customers!A:C, 3, FALSE), 0)</f>
        <v>33</v>
      </c>
      <c r="Q1231">
        <f t="shared" si="19"/>
        <v>0.4891089108910891</v>
      </c>
    </row>
    <row r="1232" spans="1:17" x14ac:dyDescent="0.3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  <c r="L1232" t="str">
        <f>VLOOKUP(D1232, Products!A:C, 3, FALSE)</f>
        <v>Beauty</v>
      </c>
      <c r="M1232" t="str">
        <f>IFERROR(VLOOKUP(C1232, Customers!A:E, 5, FALSE), "Unknown")</f>
        <v>SMB</v>
      </c>
      <c r="N1232" t="str">
        <f>VLOOKUP(E1232, Sales_Reps!A:C, 3, FALSE)</f>
        <v>North</v>
      </c>
      <c r="O1232">
        <f>VLOOKUP(D1232, Products!A:D, 4, FALSE)</f>
        <v>647</v>
      </c>
      <c r="P1232">
        <f>IFERROR(VLOOKUP(C1232, Customers!A:C, 3, FALSE), 0)</f>
        <v>27</v>
      </c>
      <c r="Q1232">
        <f t="shared" si="19"/>
        <v>0.57987012987012987</v>
      </c>
    </row>
    <row r="1233" spans="1:17" x14ac:dyDescent="0.3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  <c r="L1233" t="str">
        <f>VLOOKUP(D1233, Products!A:C, 3, FALSE)</f>
        <v>Beauty</v>
      </c>
      <c r="M1233" t="str">
        <f>IFERROR(VLOOKUP(C1233, Customers!A:E, 5, FALSE), "Unknown")</f>
        <v>Retail</v>
      </c>
      <c r="N1233" t="str">
        <f>VLOOKUP(E1233, Sales_Reps!A:C, 3, FALSE)</f>
        <v>South</v>
      </c>
      <c r="O1233">
        <f>VLOOKUP(D1233, Products!A:D, 4, FALSE)</f>
        <v>2237</v>
      </c>
      <c r="P1233">
        <f>IFERROR(VLOOKUP(C1233, Customers!A:C, 3, FALSE), 0)</f>
        <v>26</v>
      </c>
      <c r="Q1233">
        <f t="shared" si="19"/>
        <v>0.56137254901960787</v>
      </c>
    </row>
    <row r="1234" spans="1:17" x14ac:dyDescent="0.3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  <c r="L1234" t="str">
        <f>VLOOKUP(D1234, Products!A:C, 3, FALSE)</f>
        <v>Electronics</v>
      </c>
      <c r="M1234" t="str">
        <f>IFERROR(VLOOKUP(C1234, Customers!A:E, 5, FALSE), "Unknown")</f>
        <v>Retail</v>
      </c>
      <c r="N1234" t="str">
        <f>VLOOKUP(E1234, Sales_Reps!A:C, 3, FALSE)</f>
        <v>West</v>
      </c>
      <c r="O1234">
        <f>VLOOKUP(D1234, Products!A:D, 4, FALSE)</f>
        <v>861</v>
      </c>
      <c r="P1234">
        <f>IFERROR(VLOOKUP(C1234, Customers!A:C, 3, FALSE), 0)</f>
        <v>22</v>
      </c>
      <c r="Q1234">
        <f t="shared" si="19"/>
        <v>0.39790209790209791</v>
      </c>
    </row>
    <row r="1235" spans="1:17" x14ac:dyDescent="0.3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  <c r="L1235" t="str">
        <f>VLOOKUP(D1235, Products!A:C, 3, FALSE)</f>
        <v>Home</v>
      </c>
      <c r="M1235" t="str">
        <f>IFERROR(VLOOKUP(C1235, Customers!A:E, 5, FALSE), "Unknown")</f>
        <v>Retail</v>
      </c>
      <c r="N1235" t="str">
        <f>VLOOKUP(E1235, Sales_Reps!A:C, 3, FALSE)</f>
        <v>South</v>
      </c>
      <c r="O1235">
        <f>VLOOKUP(D1235, Products!A:D, 4, FALSE)</f>
        <v>2549</v>
      </c>
      <c r="P1235">
        <f>IFERROR(VLOOKUP(C1235, Customers!A:C, 3, FALSE), 0)</f>
        <v>31</v>
      </c>
      <c r="Q1235">
        <f t="shared" si="19"/>
        <v>0.53570127504553733</v>
      </c>
    </row>
    <row r="1236" spans="1:17" x14ac:dyDescent="0.3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  <c r="L1236" t="str">
        <f>VLOOKUP(D1236, Products!A:C, 3, FALSE)</f>
        <v>Beauty</v>
      </c>
      <c r="M1236" t="str">
        <f>IFERROR(VLOOKUP(C1236, Customers!A:E, 5, FALSE), "Unknown")</f>
        <v>Retail</v>
      </c>
      <c r="N1236" t="str">
        <f>VLOOKUP(E1236, Sales_Reps!A:C, 3, FALSE)</f>
        <v>North</v>
      </c>
      <c r="O1236">
        <f>VLOOKUP(D1236, Products!A:D, 4, FALSE)</f>
        <v>1222</v>
      </c>
      <c r="P1236">
        <f>IFERROR(VLOOKUP(C1236, Customers!A:C, 3, FALSE), 0)</f>
        <v>22</v>
      </c>
      <c r="Q1236">
        <f t="shared" si="19"/>
        <v>0.2593939393939394</v>
      </c>
    </row>
    <row r="1237" spans="1:17" x14ac:dyDescent="0.3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  <c r="L1237" t="str">
        <f>VLOOKUP(D1237, Products!A:C, 3, FALSE)</f>
        <v>Beauty</v>
      </c>
      <c r="M1237" t="str">
        <f>IFERROR(VLOOKUP(C1237, Customers!A:E, 5, FALSE), "Unknown")</f>
        <v>SMB</v>
      </c>
      <c r="N1237" t="str">
        <f>VLOOKUP(E1237, Sales_Reps!A:C, 3, FALSE)</f>
        <v>East</v>
      </c>
      <c r="O1237">
        <f>VLOOKUP(D1237, Products!A:D, 4, FALSE)</f>
        <v>1626</v>
      </c>
      <c r="P1237">
        <f>IFERROR(VLOOKUP(C1237, Customers!A:C, 3, FALSE), 0)</f>
        <v>31</v>
      </c>
      <c r="Q1237">
        <f t="shared" si="19"/>
        <v>0.46158940397350995</v>
      </c>
    </row>
    <row r="1238" spans="1:17" x14ac:dyDescent="0.3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  <c r="L1238" t="str">
        <f>VLOOKUP(D1238, Products!A:C, 3, FALSE)</f>
        <v>Beauty</v>
      </c>
      <c r="M1238" t="str">
        <f>IFERROR(VLOOKUP(C1238, Customers!A:E, 5, FALSE), "Unknown")</f>
        <v>SMB</v>
      </c>
      <c r="N1238" t="str">
        <f>VLOOKUP(E1238, Sales_Reps!A:C, 3, FALSE)</f>
        <v>North</v>
      </c>
      <c r="O1238">
        <f>VLOOKUP(D1238, Products!A:D, 4, FALSE)</f>
        <v>647</v>
      </c>
      <c r="P1238">
        <f>IFERROR(VLOOKUP(C1238, Customers!A:C, 3, FALSE), 0)</f>
        <v>54</v>
      </c>
      <c r="Q1238">
        <f t="shared" si="19"/>
        <v>0.57987012987012987</v>
      </c>
    </row>
    <row r="1239" spans="1:17" x14ac:dyDescent="0.3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  <c r="L1239" t="str">
        <f>VLOOKUP(D1239, Products!A:C, 3, FALSE)</f>
        <v>Sports</v>
      </c>
      <c r="M1239" t="str">
        <f>IFERROR(VLOOKUP(C1239, Customers!A:E, 5, FALSE), "Unknown")</f>
        <v>SMB</v>
      </c>
      <c r="N1239" t="str">
        <f>VLOOKUP(E1239, Sales_Reps!A:C, 3, FALSE)</f>
        <v>East</v>
      </c>
      <c r="O1239">
        <f>VLOOKUP(D1239, Products!A:D, 4, FALSE)</f>
        <v>2827</v>
      </c>
      <c r="P1239">
        <f>IFERROR(VLOOKUP(C1239, Customers!A:C, 3, FALSE), 0)</f>
        <v>60</v>
      </c>
      <c r="Q1239">
        <f t="shared" si="19"/>
        <v>0.5926512968299712</v>
      </c>
    </row>
    <row r="1240" spans="1:17" x14ac:dyDescent="0.3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  <c r="L1240" t="str">
        <f>VLOOKUP(D1240, Products!A:C, 3, FALSE)</f>
        <v>Beauty</v>
      </c>
      <c r="M1240" t="str">
        <f>IFERROR(VLOOKUP(C1240, Customers!A:E, 5, FALSE), "Unknown")</f>
        <v>Retail</v>
      </c>
      <c r="N1240" t="str">
        <f>VLOOKUP(E1240, Sales_Reps!A:C, 3, FALSE)</f>
        <v>East</v>
      </c>
      <c r="O1240">
        <f>VLOOKUP(D1240, Products!A:D, 4, FALSE)</f>
        <v>2237</v>
      </c>
      <c r="P1240">
        <f>IFERROR(VLOOKUP(C1240, Customers!A:C, 3, FALSE), 0)</f>
        <v>36</v>
      </c>
      <c r="Q1240">
        <f t="shared" si="19"/>
        <v>0.56137254901960787</v>
      </c>
    </row>
    <row r="1241" spans="1:17" x14ac:dyDescent="0.3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  <c r="L1241" t="str">
        <f>VLOOKUP(D1241, Products!A:C, 3, FALSE)</f>
        <v>Electronics</v>
      </c>
      <c r="M1241" t="str">
        <f>IFERROR(VLOOKUP(C1241, Customers!A:E, 5, FALSE), "Unknown")</f>
        <v>Corporate</v>
      </c>
      <c r="N1241" t="str">
        <f>VLOOKUP(E1241, Sales_Reps!A:C, 3, FALSE)</f>
        <v>South</v>
      </c>
      <c r="O1241">
        <f>VLOOKUP(D1241, Products!A:D, 4, FALSE)</f>
        <v>2405</v>
      </c>
      <c r="P1241">
        <f>IFERROR(VLOOKUP(C1241, Customers!A:C, 3, FALSE), 0)</f>
        <v>33</v>
      </c>
      <c r="Q1241">
        <f t="shared" si="19"/>
        <v>0.54878048780487809</v>
      </c>
    </row>
    <row r="1242" spans="1:17" x14ac:dyDescent="0.3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  <c r="L1242" t="str">
        <f>VLOOKUP(D1242, Products!A:C, 3, FALSE)</f>
        <v>Sports</v>
      </c>
      <c r="M1242" t="str">
        <f>IFERROR(VLOOKUP(C1242, Customers!A:E, 5, FALSE), "Unknown")</f>
        <v>SMB</v>
      </c>
      <c r="N1242" t="str">
        <f>VLOOKUP(E1242, Sales_Reps!A:C, 3, FALSE)</f>
        <v>West</v>
      </c>
      <c r="O1242">
        <f>VLOOKUP(D1242, Products!A:D, 4, FALSE)</f>
        <v>705</v>
      </c>
      <c r="P1242">
        <f>IFERROR(VLOOKUP(C1242, Customers!A:C, 3, FALSE), 0)</f>
        <v>44</v>
      </c>
      <c r="Q1242">
        <f t="shared" si="19"/>
        <v>0.265625</v>
      </c>
    </row>
    <row r="1243" spans="1:17" x14ac:dyDescent="0.3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  <c r="L1243" t="str">
        <f>VLOOKUP(D1243, Products!A:C, 3, FALSE)</f>
        <v>Apparel</v>
      </c>
      <c r="M1243" t="str">
        <f>IFERROR(VLOOKUP(C1243, Customers!A:E, 5, FALSE), "Unknown")</f>
        <v>Corporate</v>
      </c>
      <c r="N1243" t="str">
        <f>VLOOKUP(E1243, Sales_Reps!A:C, 3, FALSE)</f>
        <v>East</v>
      </c>
      <c r="O1243">
        <f>VLOOKUP(D1243, Products!A:D, 4, FALSE)</f>
        <v>2509</v>
      </c>
      <c r="P1243">
        <f>IFERROR(VLOOKUP(C1243, Customers!A:C, 3, FALSE), 0)</f>
        <v>46</v>
      </c>
      <c r="Q1243">
        <f t="shared" si="19"/>
        <v>0.3069060773480663</v>
      </c>
    </row>
    <row r="1244" spans="1:17" x14ac:dyDescent="0.3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  <c r="L1244" t="str">
        <f>VLOOKUP(D1244, Products!A:C, 3, FALSE)</f>
        <v>Electronics</v>
      </c>
      <c r="M1244" t="str">
        <f>IFERROR(VLOOKUP(C1244, Customers!A:E, 5, FALSE), "Unknown")</f>
        <v>Retail</v>
      </c>
      <c r="N1244" t="str">
        <f>VLOOKUP(E1244, Sales_Reps!A:C, 3, FALSE)</f>
        <v>North</v>
      </c>
      <c r="O1244">
        <f>VLOOKUP(D1244, Products!A:D, 4, FALSE)</f>
        <v>1052</v>
      </c>
      <c r="P1244">
        <f>IFERROR(VLOOKUP(C1244, Customers!A:C, 3, FALSE), 0)</f>
        <v>35</v>
      </c>
      <c r="Q1244">
        <f t="shared" si="19"/>
        <v>0.5953846153846154</v>
      </c>
    </row>
    <row r="1245" spans="1:17" x14ac:dyDescent="0.3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  <c r="L1245" t="str">
        <f>VLOOKUP(D1245, Products!A:C, 3, FALSE)</f>
        <v>Electronics</v>
      </c>
      <c r="M1245" t="str">
        <f>IFERROR(VLOOKUP(C1245, Customers!A:E, 5, FALSE), "Unknown")</f>
        <v>Retail</v>
      </c>
      <c r="N1245" t="str">
        <f>VLOOKUP(E1245, Sales_Reps!A:C, 3, FALSE)</f>
        <v>South</v>
      </c>
      <c r="O1245">
        <f>VLOOKUP(D1245, Products!A:D, 4, FALSE)</f>
        <v>1259</v>
      </c>
      <c r="P1245">
        <f>IFERROR(VLOOKUP(C1245, Customers!A:C, 3, FALSE), 0)</f>
        <v>49</v>
      </c>
      <c r="Q1245">
        <f t="shared" si="19"/>
        <v>0.52669172932330832</v>
      </c>
    </row>
    <row r="1246" spans="1:17" x14ac:dyDescent="0.3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  <c r="L1246" t="str">
        <f>VLOOKUP(D1246, Products!A:C, 3, FALSE)</f>
        <v>Apparel</v>
      </c>
      <c r="M1246" t="str">
        <f>IFERROR(VLOOKUP(C1246, Customers!A:E, 5, FALSE), "Unknown")</f>
        <v>SMB</v>
      </c>
      <c r="N1246" t="str">
        <f>VLOOKUP(E1246, Sales_Reps!A:C, 3, FALSE)</f>
        <v>East</v>
      </c>
      <c r="O1246">
        <f>VLOOKUP(D1246, Products!A:D, 4, FALSE)</f>
        <v>1173</v>
      </c>
      <c r="P1246">
        <f>IFERROR(VLOOKUP(C1246, Customers!A:C, 3, FALSE), 0)</f>
        <v>65</v>
      </c>
      <c r="Q1246">
        <f t="shared" si="19"/>
        <v>0.52701612903225803</v>
      </c>
    </row>
    <row r="1247" spans="1:17" x14ac:dyDescent="0.3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  <c r="L1247" t="str">
        <f>VLOOKUP(D1247, Products!A:C, 3, FALSE)</f>
        <v>Electronics</v>
      </c>
      <c r="M1247" t="str">
        <f>IFERROR(VLOOKUP(C1247, Customers!A:E, 5, FALSE), "Unknown")</f>
        <v>SMB</v>
      </c>
      <c r="N1247" t="str">
        <f>VLOOKUP(E1247, Sales_Reps!A:C, 3, FALSE)</f>
        <v>South</v>
      </c>
      <c r="O1247">
        <f>VLOOKUP(D1247, Products!A:D, 4, FALSE)</f>
        <v>1259</v>
      </c>
      <c r="P1247">
        <f>IFERROR(VLOOKUP(C1247, Customers!A:C, 3, FALSE), 0)</f>
        <v>38</v>
      </c>
      <c r="Q1247">
        <f t="shared" si="19"/>
        <v>0.52669172932330832</v>
      </c>
    </row>
    <row r="1248" spans="1:17" x14ac:dyDescent="0.3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  <c r="L1248" t="str">
        <f>VLOOKUP(D1248, Products!A:C, 3, FALSE)</f>
        <v>Electronics</v>
      </c>
      <c r="M1248" t="str">
        <f>IFERROR(VLOOKUP(C1248, Customers!A:E, 5, FALSE), "Unknown")</f>
        <v>Retail</v>
      </c>
      <c r="N1248" t="str">
        <f>VLOOKUP(E1248, Sales_Reps!A:C, 3, FALSE)</f>
        <v>South</v>
      </c>
      <c r="O1248">
        <f>VLOOKUP(D1248, Products!A:D, 4, FALSE)</f>
        <v>2405</v>
      </c>
      <c r="P1248">
        <f>IFERROR(VLOOKUP(C1248, Customers!A:C, 3, FALSE), 0)</f>
        <v>35</v>
      </c>
      <c r="Q1248">
        <f t="shared" si="19"/>
        <v>0.54878048780487809</v>
      </c>
    </row>
    <row r="1249" spans="1:17" x14ac:dyDescent="0.3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  <c r="L1249" t="str">
        <f>VLOOKUP(D1249, Products!A:C, 3, FALSE)</f>
        <v>Sports</v>
      </c>
      <c r="M1249" t="str">
        <f>IFERROR(VLOOKUP(C1249, Customers!A:E, 5, FALSE), "Unknown")</f>
        <v>Retail</v>
      </c>
      <c r="N1249" t="str">
        <f>VLOOKUP(E1249, Sales_Reps!A:C, 3, FALSE)</f>
        <v>West</v>
      </c>
      <c r="O1249">
        <f>VLOOKUP(D1249, Products!A:D, 4, FALSE)</f>
        <v>2467</v>
      </c>
      <c r="P1249">
        <f>IFERROR(VLOOKUP(C1249, Customers!A:C, 3, FALSE), 0)</f>
        <v>53</v>
      </c>
      <c r="Q1249">
        <f t="shared" si="19"/>
        <v>0.28492753623188405</v>
      </c>
    </row>
    <row r="1250" spans="1:17" x14ac:dyDescent="0.3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  <c r="L1250" t="str">
        <f>VLOOKUP(D1250, Products!A:C, 3, FALSE)</f>
        <v>Sports</v>
      </c>
      <c r="M1250" t="str">
        <f>IFERROR(VLOOKUP(C1250, Customers!A:E, 5, FALSE), "Unknown")</f>
        <v>Retail</v>
      </c>
      <c r="N1250" t="str">
        <f>VLOOKUP(E1250, Sales_Reps!A:C, 3, FALSE)</f>
        <v>West</v>
      </c>
      <c r="O1250">
        <f>VLOOKUP(D1250, Products!A:D, 4, FALSE)</f>
        <v>147</v>
      </c>
      <c r="P1250">
        <f>IFERROR(VLOOKUP(C1250, Customers!A:C, 3, FALSE), 0)</f>
        <v>34</v>
      </c>
      <c r="Q1250">
        <f t="shared" si="19"/>
        <v>0.22631578947368422</v>
      </c>
    </row>
    <row r="1251" spans="1:17" x14ac:dyDescent="0.3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  <c r="L1251" t="str">
        <f>VLOOKUP(D1251, Products!A:C, 3, FALSE)</f>
        <v>Electronics</v>
      </c>
      <c r="M1251" t="str">
        <f>IFERROR(VLOOKUP(C1251, Customers!A:E, 5, FALSE), "Unknown")</f>
        <v>Corporate</v>
      </c>
      <c r="N1251" t="str">
        <f>VLOOKUP(E1251, Sales_Reps!A:C, 3, FALSE)</f>
        <v>South</v>
      </c>
      <c r="O1251">
        <f>VLOOKUP(D1251, Products!A:D, 4, FALSE)</f>
        <v>2865</v>
      </c>
      <c r="P1251">
        <f>IFERROR(VLOOKUP(C1251, Customers!A:C, 3, FALSE), 0)</f>
        <v>22</v>
      </c>
      <c r="Q1251">
        <f t="shared" si="19"/>
        <v>0.27833753148614609</v>
      </c>
    </row>
    <row r="1252" spans="1:17" x14ac:dyDescent="0.3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  <c r="L1252" t="str">
        <f>VLOOKUP(D1252, Products!A:C, 3, FALSE)</f>
        <v>Home</v>
      </c>
      <c r="M1252" t="str">
        <f>IFERROR(VLOOKUP(C1252, Customers!A:E, 5, FALSE), "Unknown")</f>
        <v>Retail</v>
      </c>
      <c r="N1252" t="str">
        <f>VLOOKUP(E1252, Sales_Reps!A:C, 3, FALSE)</f>
        <v>North</v>
      </c>
      <c r="O1252">
        <f>VLOOKUP(D1252, Products!A:D, 4, FALSE)</f>
        <v>1850</v>
      </c>
      <c r="P1252">
        <f>IFERROR(VLOOKUP(C1252, Customers!A:C, 3, FALSE), 0)</f>
        <v>60</v>
      </c>
      <c r="Q1252">
        <f t="shared" si="19"/>
        <v>0.59869848156182215</v>
      </c>
    </row>
    <row r="1253" spans="1:17" x14ac:dyDescent="0.3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  <c r="L1253" t="str">
        <f>VLOOKUP(D1253, Products!A:C, 3, FALSE)</f>
        <v>Apparel</v>
      </c>
      <c r="M1253" t="str">
        <f>IFERROR(VLOOKUP(C1253, Customers!A:E, 5, FALSE), "Unknown")</f>
        <v>Retail</v>
      </c>
      <c r="N1253" t="str">
        <f>VLOOKUP(E1253, Sales_Reps!A:C, 3, FALSE)</f>
        <v>West</v>
      </c>
      <c r="O1253">
        <f>VLOOKUP(D1253, Products!A:D, 4, FALSE)</f>
        <v>396</v>
      </c>
      <c r="P1253">
        <f>IFERROR(VLOOKUP(C1253, Customers!A:C, 3, FALSE), 0)</f>
        <v>50</v>
      </c>
      <c r="Q1253">
        <f t="shared" si="19"/>
        <v>0.36129032258064514</v>
      </c>
    </row>
    <row r="1254" spans="1:17" x14ac:dyDescent="0.3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  <c r="L1254" t="str">
        <f>VLOOKUP(D1254, Products!A:C, 3, FALSE)</f>
        <v>Beauty</v>
      </c>
      <c r="M1254" t="str">
        <f>IFERROR(VLOOKUP(C1254, Customers!A:E, 5, FALSE), "Unknown")</f>
        <v>Corporate</v>
      </c>
      <c r="N1254" t="str">
        <f>VLOOKUP(E1254, Sales_Reps!A:C, 3, FALSE)</f>
        <v>West</v>
      </c>
      <c r="O1254">
        <f>VLOOKUP(D1254, Products!A:D, 4, FALSE)</f>
        <v>647</v>
      </c>
      <c r="P1254">
        <f>IFERROR(VLOOKUP(C1254, Customers!A:C, 3, FALSE), 0)</f>
        <v>43</v>
      </c>
      <c r="Q1254">
        <f t="shared" si="19"/>
        <v>0.57987012987012987</v>
      </c>
    </row>
    <row r="1255" spans="1:17" x14ac:dyDescent="0.3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  <c r="L1255" t="str">
        <f>VLOOKUP(D1255, Products!A:C, 3, FALSE)</f>
        <v>Sports</v>
      </c>
      <c r="M1255" t="str">
        <f>IFERROR(VLOOKUP(C1255, Customers!A:E, 5, FALSE), "Unknown")</f>
        <v>Retail</v>
      </c>
      <c r="N1255" t="str">
        <f>VLOOKUP(E1255, Sales_Reps!A:C, 3, FALSE)</f>
        <v>East</v>
      </c>
      <c r="O1255">
        <f>VLOOKUP(D1255, Products!A:D, 4, FALSE)</f>
        <v>302</v>
      </c>
      <c r="P1255">
        <f>IFERROR(VLOOKUP(C1255, Customers!A:C, 3, FALSE), 0)</f>
        <v>22</v>
      </c>
      <c r="Q1255">
        <f t="shared" si="19"/>
        <v>0.35744680851063831</v>
      </c>
    </row>
    <row r="1256" spans="1:17" x14ac:dyDescent="0.3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  <c r="L1256" t="str">
        <f>VLOOKUP(D1256, Products!A:C, 3, FALSE)</f>
        <v>Beauty</v>
      </c>
      <c r="M1256" t="str">
        <f>IFERROR(VLOOKUP(C1256, Customers!A:E, 5, FALSE), "Unknown")</f>
        <v>Retail</v>
      </c>
      <c r="N1256" t="str">
        <f>VLOOKUP(E1256, Sales_Reps!A:C, 3, FALSE)</f>
        <v>North</v>
      </c>
      <c r="O1256">
        <f>VLOOKUP(D1256, Products!A:D, 4, FALSE)</f>
        <v>2768</v>
      </c>
      <c r="P1256">
        <f>IFERROR(VLOOKUP(C1256, Customers!A:C, 3, FALSE), 0)</f>
        <v>47</v>
      </c>
      <c r="Q1256">
        <f t="shared" si="19"/>
        <v>0.43278688524590164</v>
      </c>
    </row>
    <row r="1257" spans="1:17" x14ac:dyDescent="0.3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  <c r="L1257" t="str">
        <f>VLOOKUP(D1257, Products!A:C, 3, FALSE)</f>
        <v>Sports</v>
      </c>
      <c r="M1257" t="str">
        <f>IFERROR(VLOOKUP(C1257, Customers!A:E, 5, FALSE), "Unknown")</f>
        <v>SMB</v>
      </c>
      <c r="N1257" t="str">
        <f>VLOOKUP(E1257, Sales_Reps!A:C, 3, FALSE)</f>
        <v>West</v>
      </c>
      <c r="O1257">
        <f>VLOOKUP(D1257, Products!A:D, 4, FALSE)</f>
        <v>2265</v>
      </c>
      <c r="P1257">
        <f>IFERROR(VLOOKUP(C1257, Customers!A:C, 3, FALSE), 0)</f>
        <v>53</v>
      </c>
      <c r="Q1257">
        <f t="shared" si="19"/>
        <v>0.58133086876155271</v>
      </c>
    </row>
    <row r="1258" spans="1:17" x14ac:dyDescent="0.3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  <c r="L1258" t="str">
        <f>VLOOKUP(D1258, Products!A:C, 3, FALSE)</f>
        <v>Electronics</v>
      </c>
      <c r="M1258" t="str">
        <f>IFERROR(VLOOKUP(C1258, Customers!A:E, 5, FALSE), "Unknown")</f>
        <v>SMB</v>
      </c>
      <c r="N1258" t="str">
        <f>VLOOKUP(E1258, Sales_Reps!A:C, 3, FALSE)</f>
        <v>East</v>
      </c>
      <c r="O1258">
        <f>VLOOKUP(D1258, Products!A:D, 4, FALSE)</f>
        <v>1559</v>
      </c>
      <c r="P1258">
        <f>IFERROR(VLOOKUP(C1258, Customers!A:C, 3, FALSE), 0)</f>
        <v>55</v>
      </c>
      <c r="Q1258">
        <f t="shared" si="19"/>
        <v>0.59715762273901807</v>
      </c>
    </row>
    <row r="1259" spans="1:17" x14ac:dyDescent="0.3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  <c r="L1259" t="str">
        <f>VLOOKUP(D1259, Products!A:C, 3, FALSE)</f>
        <v>Electronics</v>
      </c>
      <c r="M1259" t="str">
        <f>IFERROR(VLOOKUP(C1259, Customers!A:E, 5, FALSE), "Unknown")</f>
        <v>SMB</v>
      </c>
      <c r="N1259" t="str">
        <f>VLOOKUP(E1259, Sales_Reps!A:C, 3, FALSE)</f>
        <v>East</v>
      </c>
      <c r="O1259">
        <f>VLOOKUP(D1259, Products!A:D, 4, FALSE)</f>
        <v>1149</v>
      </c>
      <c r="P1259">
        <f>IFERROR(VLOOKUP(C1259, Customers!A:C, 3, FALSE), 0)</f>
        <v>26</v>
      </c>
      <c r="Q1259">
        <f t="shared" si="19"/>
        <v>0.56477272727272732</v>
      </c>
    </row>
    <row r="1260" spans="1:17" x14ac:dyDescent="0.3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  <c r="L1260" t="str">
        <f>VLOOKUP(D1260, Products!A:C, 3, FALSE)</f>
        <v>Home</v>
      </c>
      <c r="M1260" t="str">
        <f>IFERROR(VLOOKUP(C1260, Customers!A:E, 5, FALSE), "Unknown")</f>
        <v>Corporate</v>
      </c>
      <c r="N1260" t="str">
        <f>VLOOKUP(E1260, Sales_Reps!A:C, 3, FALSE)</f>
        <v>North</v>
      </c>
      <c r="O1260">
        <f>VLOOKUP(D1260, Products!A:D, 4, FALSE)</f>
        <v>2459</v>
      </c>
      <c r="P1260">
        <f>IFERROR(VLOOKUP(C1260, Customers!A:C, 3, FALSE), 0)</f>
        <v>22</v>
      </c>
      <c r="Q1260">
        <f t="shared" si="19"/>
        <v>0.51594488188976373</v>
      </c>
    </row>
    <row r="1261" spans="1:17" x14ac:dyDescent="0.3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  <c r="L1261" t="str">
        <f>VLOOKUP(D1261, Products!A:C, 3, FALSE)</f>
        <v>Home</v>
      </c>
      <c r="M1261" t="str">
        <f>IFERROR(VLOOKUP(C1261, Customers!A:E, 5, FALSE), "Unknown")</f>
        <v>SMB</v>
      </c>
      <c r="N1261" t="str">
        <f>VLOOKUP(E1261, Sales_Reps!A:C, 3, FALSE)</f>
        <v>East</v>
      </c>
      <c r="O1261">
        <f>VLOOKUP(D1261, Products!A:D, 4, FALSE)</f>
        <v>1556</v>
      </c>
      <c r="P1261">
        <f>IFERROR(VLOOKUP(C1261, Customers!A:C, 3, FALSE), 0)</f>
        <v>46</v>
      </c>
      <c r="Q1261">
        <f t="shared" si="19"/>
        <v>0.52123076923076928</v>
      </c>
    </row>
    <row r="1262" spans="1:17" x14ac:dyDescent="0.3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  <c r="L1262" t="str">
        <f>VLOOKUP(D1262, Products!A:C, 3, FALSE)</f>
        <v>Electronics</v>
      </c>
      <c r="M1262" t="str">
        <f>IFERROR(VLOOKUP(C1262, Customers!A:E, 5, FALSE), "Unknown")</f>
        <v>Retail</v>
      </c>
      <c r="N1262" t="str">
        <f>VLOOKUP(E1262, Sales_Reps!A:C, 3, FALSE)</f>
        <v>North</v>
      </c>
      <c r="O1262">
        <f>VLOOKUP(D1262, Products!A:D, 4, FALSE)</f>
        <v>2865</v>
      </c>
      <c r="P1262">
        <f>IFERROR(VLOOKUP(C1262, Customers!A:C, 3, FALSE), 0)</f>
        <v>49</v>
      </c>
      <c r="Q1262">
        <f t="shared" si="19"/>
        <v>0.27833753148614609</v>
      </c>
    </row>
    <row r="1263" spans="1:17" x14ac:dyDescent="0.3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  <c r="L1263" t="str">
        <f>VLOOKUP(D1263, Products!A:C, 3, FALSE)</f>
        <v>Home</v>
      </c>
      <c r="M1263" t="str">
        <f>IFERROR(VLOOKUP(C1263, Customers!A:E, 5, FALSE), "Unknown")</f>
        <v>Retail</v>
      </c>
      <c r="N1263" t="str">
        <f>VLOOKUP(E1263, Sales_Reps!A:C, 3, FALSE)</f>
        <v>East</v>
      </c>
      <c r="O1263">
        <f>VLOOKUP(D1263, Products!A:D, 4, FALSE)</f>
        <v>329</v>
      </c>
      <c r="P1263">
        <f>IFERROR(VLOOKUP(C1263, Customers!A:C, 3, FALSE), 0)</f>
        <v>29</v>
      </c>
      <c r="Q1263">
        <f t="shared" si="19"/>
        <v>0.50151515151515147</v>
      </c>
    </row>
    <row r="1264" spans="1:17" x14ac:dyDescent="0.3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  <c r="L1264" t="str">
        <f>VLOOKUP(D1264, Products!A:C, 3, FALSE)</f>
        <v>Electronics</v>
      </c>
      <c r="M1264" t="str">
        <f>IFERROR(VLOOKUP(C1264, Customers!A:E, 5, FALSE), "Unknown")</f>
        <v>Retail</v>
      </c>
      <c r="N1264" t="str">
        <f>VLOOKUP(E1264, Sales_Reps!A:C, 3, FALSE)</f>
        <v>East</v>
      </c>
      <c r="O1264">
        <f>VLOOKUP(D1264, Products!A:D, 4, FALSE)</f>
        <v>1052</v>
      </c>
      <c r="P1264">
        <f>IFERROR(VLOOKUP(C1264, Customers!A:C, 3, FALSE), 0)</f>
        <v>42</v>
      </c>
      <c r="Q1264">
        <f t="shared" si="19"/>
        <v>0.5953846153846154</v>
      </c>
    </row>
    <row r="1265" spans="1:17" x14ac:dyDescent="0.3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  <c r="L1265" t="str">
        <f>VLOOKUP(D1265, Products!A:C, 3, FALSE)</f>
        <v>Home</v>
      </c>
      <c r="M1265" t="str">
        <f>IFERROR(VLOOKUP(C1265, Customers!A:E, 5, FALSE), "Unknown")</f>
        <v>Corporate</v>
      </c>
      <c r="N1265" t="str">
        <f>VLOOKUP(E1265, Sales_Reps!A:C, 3, FALSE)</f>
        <v>South</v>
      </c>
      <c r="O1265">
        <f>VLOOKUP(D1265, Products!A:D, 4, FALSE)</f>
        <v>329</v>
      </c>
      <c r="P1265">
        <f>IFERROR(VLOOKUP(C1265, Customers!A:C, 3, FALSE), 0)</f>
        <v>40</v>
      </c>
      <c r="Q1265">
        <f t="shared" si="19"/>
        <v>0.50151515151515147</v>
      </c>
    </row>
    <row r="1266" spans="1:17" x14ac:dyDescent="0.3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  <c r="L1266" t="str">
        <f>VLOOKUP(D1266, Products!A:C, 3, FALSE)</f>
        <v>Grocery</v>
      </c>
      <c r="M1266" t="str">
        <f>IFERROR(VLOOKUP(C1266, Customers!A:E, 5, FALSE), "Unknown")</f>
        <v>SMB</v>
      </c>
      <c r="N1266" t="str">
        <f>VLOOKUP(E1266, Sales_Reps!A:C, 3, FALSE)</f>
        <v>East</v>
      </c>
      <c r="O1266">
        <f>VLOOKUP(D1266, Products!A:D, 4, FALSE)</f>
        <v>1182</v>
      </c>
      <c r="P1266">
        <f>IFERROR(VLOOKUP(C1266, Customers!A:C, 3, FALSE), 0)</f>
        <v>55</v>
      </c>
      <c r="Q1266">
        <f t="shared" si="19"/>
        <v>0.50336134453781511</v>
      </c>
    </row>
    <row r="1267" spans="1:17" x14ac:dyDescent="0.3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  <c r="L1267" t="str">
        <f>VLOOKUP(D1267, Products!A:C, 3, FALSE)</f>
        <v>Beauty</v>
      </c>
      <c r="M1267" t="str">
        <f>IFERROR(VLOOKUP(C1267, Customers!A:E, 5, FALSE), "Unknown")</f>
        <v>Retail</v>
      </c>
      <c r="N1267" t="str">
        <f>VLOOKUP(E1267, Sales_Reps!A:C, 3, FALSE)</f>
        <v>South</v>
      </c>
      <c r="O1267">
        <f>VLOOKUP(D1267, Products!A:D, 4, FALSE)</f>
        <v>1222</v>
      </c>
      <c r="P1267">
        <f>IFERROR(VLOOKUP(C1267, Customers!A:C, 3, FALSE), 0)</f>
        <v>28</v>
      </c>
      <c r="Q1267">
        <f t="shared" si="19"/>
        <v>0.2593939393939394</v>
      </c>
    </row>
    <row r="1268" spans="1:17" x14ac:dyDescent="0.3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  <c r="L1268" t="str">
        <f>VLOOKUP(D1268, Products!A:C, 3, FALSE)</f>
        <v>Electronics</v>
      </c>
      <c r="M1268" t="str">
        <f>IFERROR(VLOOKUP(C1268, Customers!A:E, 5, FALSE), "Unknown")</f>
        <v>Unknown</v>
      </c>
      <c r="N1268" t="str">
        <f>VLOOKUP(E1268, Sales_Reps!A:C, 3, FALSE)</f>
        <v>North</v>
      </c>
      <c r="O1268">
        <f>VLOOKUP(D1268, Products!A:D, 4, FALSE)</f>
        <v>1149</v>
      </c>
      <c r="P1268">
        <f>IFERROR(VLOOKUP(C1268, Customers!A:C, 3, FALSE), 0)</f>
        <v>0</v>
      </c>
      <c r="Q1268">
        <f t="shared" si="19"/>
        <v>0.56477272727272732</v>
      </c>
    </row>
    <row r="1269" spans="1:17" x14ac:dyDescent="0.3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  <c r="L1269" t="str">
        <f>VLOOKUP(D1269, Products!A:C, 3, FALSE)</f>
        <v>Grocery</v>
      </c>
      <c r="M1269" t="str">
        <f>IFERROR(VLOOKUP(C1269, Customers!A:E, 5, FALSE), "Unknown")</f>
        <v>Retail</v>
      </c>
      <c r="N1269" t="str">
        <f>VLOOKUP(E1269, Sales_Reps!A:C, 3, FALSE)</f>
        <v>South</v>
      </c>
      <c r="O1269">
        <f>VLOOKUP(D1269, Products!A:D, 4, FALSE)</f>
        <v>1182</v>
      </c>
      <c r="P1269">
        <f>IFERROR(VLOOKUP(C1269, Customers!A:C, 3, FALSE), 0)</f>
        <v>39</v>
      </c>
      <c r="Q1269">
        <f t="shared" si="19"/>
        <v>0.50336134453781511</v>
      </c>
    </row>
    <row r="1270" spans="1:17" x14ac:dyDescent="0.3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  <c r="L1270" t="str">
        <f>VLOOKUP(D1270, Products!A:C, 3, FALSE)</f>
        <v>Grocery</v>
      </c>
      <c r="M1270" t="str">
        <f>IFERROR(VLOOKUP(C1270, Customers!A:E, 5, FALSE), "Unknown")</f>
        <v>SMB</v>
      </c>
      <c r="N1270" t="str">
        <f>VLOOKUP(E1270, Sales_Reps!A:C, 3, FALSE)</f>
        <v>North</v>
      </c>
      <c r="O1270">
        <f>VLOOKUP(D1270, Products!A:D, 4, FALSE)</f>
        <v>1010</v>
      </c>
      <c r="P1270">
        <f>IFERROR(VLOOKUP(C1270, Customers!A:C, 3, FALSE), 0)</f>
        <v>55</v>
      </c>
      <c r="Q1270">
        <f t="shared" si="19"/>
        <v>0.54298642533936647</v>
      </c>
    </row>
    <row r="1271" spans="1:17" x14ac:dyDescent="0.3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  <c r="L1271" t="str">
        <f>VLOOKUP(D1271, Products!A:C, 3, FALSE)</f>
        <v>Beauty</v>
      </c>
      <c r="M1271" t="str">
        <f>IFERROR(VLOOKUP(C1271, Customers!A:E, 5, FALSE), "Unknown")</f>
        <v>Retail</v>
      </c>
      <c r="N1271" t="str">
        <f>VLOOKUP(E1271, Sales_Reps!A:C, 3, FALSE)</f>
        <v>East</v>
      </c>
      <c r="O1271">
        <f>VLOOKUP(D1271, Products!A:D, 4, FALSE)</f>
        <v>2617</v>
      </c>
      <c r="P1271">
        <f>IFERROR(VLOOKUP(C1271, Customers!A:C, 3, FALSE), 0)</f>
        <v>52</v>
      </c>
      <c r="Q1271">
        <f t="shared" si="19"/>
        <v>0.56957236842105263</v>
      </c>
    </row>
    <row r="1272" spans="1:17" x14ac:dyDescent="0.3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  <c r="L1272" t="str">
        <f>VLOOKUP(D1272, Products!A:C, 3, FALSE)</f>
        <v>Sports</v>
      </c>
      <c r="M1272" t="str">
        <f>IFERROR(VLOOKUP(C1272, Customers!A:E, 5, FALSE), "Unknown")</f>
        <v>Retail</v>
      </c>
      <c r="N1272" t="str">
        <f>VLOOKUP(E1272, Sales_Reps!A:C, 3, FALSE)</f>
        <v>East</v>
      </c>
      <c r="O1272">
        <f>VLOOKUP(D1272, Products!A:D, 4, FALSE)</f>
        <v>516</v>
      </c>
      <c r="P1272">
        <f>IFERROR(VLOOKUP(C1272, Customers!A:C, 3, FALSE), 0)</f>
        <v>65</v>
      </c>
      <c r="Q1272">
        <f t="shared" si="19"/>
        <v>0.4891089108910891</v>
      </c>
    </row>
    <row r="1273" spans="1:17" x14ac:dyDescent="0.3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  <c r="L1273" t="str">
        <f>VLOOKUP(D1273, Products!A:C, 3, FALSE)</f>
        <v>Grocery</v>
      </c>
      <c r="M1273" t="str">
        <f>IFERROR(VLOOKUP(C1273, Customers!A:E, 5, FALSE), "Unknown")</f>
        <v>Retail</v>
      </c>
      <c r="N1273" t="str">
        <f>VLOOKUP(E1273, Sales_Reps!A:C, 3, FALSE)</f>
        <v>South</v>
      </c>
      <c r="O1273">
        <f>VLOOKUP(D1273, Products!A:D, 4, FALSE)</f>
        <v>2214</v>
      </c>
      <c r="P1273">
        <f>IFERROR(VLOOKUP(C1273, Customers!A:C, 3, FALSE), 0)</f>
        <v>65</v>
      </c>
      <c r="Q1273">
        <f t="shared" si="19"/>
        <v>0.39508196721311473</v>
      </c>
    </row>
    <row r="1274" spans="1:17" x14ac:dyDescent="0.3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  <c r="L1274" t="str">
        <f>VLOOKUP(D1274, Products!A:C, 3, FALSE)</f>
        <v>Home</v>
      </c>
      <c r="M1274" t="str">
        <f>IFERROR(VLOOKUP(C1274, Customers!A:E, 5, FALSE), "Unknown")</f>
        <v>SMB</v>
      </c>
      <c r="N1274" t="str">
        <f>VLOOKUP(E1274, Sales_Reps!A:C, 3, FALSE)</f>
        <v>West</v>
      </c>
      <c r="O1274">
        <f>VLOOKUP(D1274, Products!A:D, 4, FALSE)</f>
        <v>1850</v>
      </c>
      <c r="P1274">
        <f>IFERROR(VLOOKUP(C1274, Customers!A:C, 3, FALSE), 0)</f>
        <v>49</v>
      </c>
      <c r="Q1274">
        <f t="shared" si="19"/>
        <v>0.59869848156182215</v>
      </c>
    </row>
    <row r="1275" spans="1:17" x14ac:dyDescent="0.3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  <c r="L1275" t="str">
        <f>VLOOKUP(D1275, Products!A:C, 3, FALSE)</f>
        <v>Beauty</v>
      </c>
      <c r="M1275" t="str">
        <f>IFERROR(VLOOKUP(C1275, Customers!A:E, 5, FALSE), "Unknown")</f>
        <v>SMB</v>
      </c>
      <c r="N1275" t="str">
        <f>VLOOKUP(E1275, Sales_Reps!A:C, 3, FALSE)</f>
        <v>North</v>
      </c>
      <c r="O1275">
        <f>VLOOKUP(D1275, Products!A:D, 4, FALSE)</f>
        <v>2237</v>
      </c>
      <c r="P1275">
        <f>IFERROR(VLOOKUP(C1275, Customers!A:C, 3, FALSE), 0)</f>
        <v>49</v>
      </c>
      <c r="Q1275">
        <f t="shared" si="19"/>
        <v>0.56137254901960787</v>
      </c>
    </row>
    <row r="1276" spans="1:17" x14ac:dyDescent="0.3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  <c r="L1276" t="str">
        <f>VLOOKUP(D1276, Products!A:C, 3, FALSE)</f>
        <v>Beauty</v>
      </c>
      <c r="M1276" t="str">
        <f>IFERROR(VLOOKUP(C1276, Customers!A:E, 5, FALSE), "Unknown")</f>
        <v>Retail</v>
      </c>
      <c r="N1276" t="str">
        <f>VLOOKUP(E1276, Sales_Reps!A:C, 3, FALSE)</f>
        <v>East</v>
      </c>
      <c r="O1276">
        <f>VLOOKUP(D1276, Products!A:D, 4, FALSE)</f>
        <v>1626</v>
      </c>
      <c r="P1276">
        <f>IFERROR(VLOOKUP(C1276, Customers!A:C, 3, FALSE), 0)</f>
        <v>59</v>
      </c>
      <c r="Q1276">
        <f t="shared" si="19"/>
        <v>0.46158940397350995</v>
      </c>
    </row>
    <row r="1277" spans="1:17" x14ac:dyDescent="0.3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  <c r="L1277" t="str">
        <f>VLOOKUP(D1277, Products!A:C, 3, FALSE)</f>
        <v>Sports</v>
      </c>
      <c r="M1277" t="str">
        <f>IFERROR(VLOOKUP(C1277, Customers!A:E, 5, FALSE), "Unknown")</f>
        <v>Retail</v>
      </c>
      <c r="N1277" t="str">
        <f>VLOOKUP(E1277, Sales_Reps!A:C, 3, FALSE)</f>
        <v>South</v>
      </c>
      <c r="O1277">
        <f>VLOOKUP(D1277, Products!A:D, 4, FALSE)</f>
        <v>1860</v>
      </c>
      <c r="P1277">
        <f>IFERROR(VLOOKUP(C1277, Customers!A:C, 3, FALSE), 0)</f>
        <v>52</v>
      </c>
      <c r="Q1277">
        <f t="shared" si="19"/>
        <v>0.50793650793650791</v>
      </c>
    </row>
    <row r="1278" spans="1:17" x14ac:dyDescent="0.3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  <c r="L1278" t="str">
        <f>VLOOKUP(D1278, Products!A:C, 3, FALSE)</f>
        <v>Grocery</v>
      </c>
      <c r="M1278" t="str">
        <f>IFERROR(VLOOKUP(C1278, Customers!A:E, 5, FALSE), "Unknown")</f>
        <v>Corporate</v>
      </c>
      <c r="N1278" t="str">
        <f>VLOOKUP(E1278, Sales_Reps!A:C, 3, FALSE)</f>
        <v>North</v>
      </c>
      <c r="O1278">
        <f>VLOOKUP(D1278, Products!A:D, 4, FALSE)</f>
        <v>1010</v>
      </c>
      <c r="P1278">
        <f>IFERROR(VLOOKUP(C1278, Customers!A:C, 3, FALSE), 0)</f>
        <v>47</v>
      </c>
      <c r="Q1278">
        <f t="shared" si="19"/>
        <v>0.54298642533936647</v>
      </c>
    </row>
    <row r="1279" spans="1:17" x14ac:dyDescent="0.3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  <c r="L1279" t="str">
        <f>VLOOKUP(D1279, Products!A:C, 3, FALSE)</f>
        <v>Grocery</v>
      </c>
      <c r="M1279" t="str">
        <f>IFERROR(VLOOKUP(C1279, Customers!A:E, 5, FALSE), "Unknown")</f>
        <v>Retail</v>
      </c>
      <c r="N1279" t="str">
        <f>VLOOKUP(E1279, Sales_Reps!A:C, 3, FALSE)</f>
        <v>South</v>
      </c>
      <c r="O1279">
        <f>VLOOKUP(D1279, Products!A:D, 4, FALSE)</f>
        <v>1010</v>
      </c>
      <c r="P1279">
        <f>IFERROR(VLOOKUP(C1279, Customers!A:C, 3, FALSE), 0)</f>
        <v>42</v>
      </c>
      <c r="Q1279">
        <f t="shared" si="19"/>
        <v>0.54298642533936647</v>
      </c>
    </row>
    <row r="1280" spans="1:17" x14ac:dyDescent="0.3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  <c r="L1280" t="str">
        <f>VLOOKUP(D1280, Products!A:C, 3, FALSE)</f>
        <v>Beauty</v>
      </c>
      <c r="M1280" t="str">
        <f>IFERROR(VLOOKUP(C1280, Customers!A:E, 5, FALSE), "Unknown")</f>
        <v>Corporate</v>
      </c>
      <c r="N1280" t="str">
        <f>VLOOKUP(E1280, Sales_Reps!A:C, 3, FALSE)</f>
        <v>South</v>
      </c>
      <c r="O1280">
        <f>VLOOKUP(D1280, Products!A:D, 4, FALSE)</f>
        <v>1222</v>
      </c>
      <c r="P1280">
        <f>IFERROR(VLOOKUP(C1280, Customers!A:C, 3, FALSE), 0)</f>
        <v>37</v>
      </c>
      <c r="Q1280">
        <f t="shared" si="19"/>
        <v>0.2593939393939394</v>
      </c>
    </row>
    <row r="1281" spans="1:17" x14ac:dyDescent="0.3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  <c r="L1281" t="str">
        <f>VLOOKUP(D1281, Products!A:C, 3, FALSE)</f>
        <v>Sports</v>
      </c>
      <c r="M1281" t="str">
        <f>IFERROR(VLOOKUP(C1281, Customers!A:E, 5, FALSE), "Unknown")</f>
        <v>Retail</v>
      </c>
      <c r="N1281" t="str">
        <f>VLOOKUP(E1281, Sales_Reps!A:C, 3, FALSE)</f>
        <v>North</v>
      </c>
      <c r="O1281">
        <f>VLOOKUP(D1281, Products!A:D, 4, FALSE)</f>
        <v>147</v>
      </c>
      <c r="P1281">
        <f>IFERROR(VLOOKUP(C1281, Customers!A:C, 3, FALSE), 0)</f>
        <v>61</v>
      </c>
      <c r="Q1281">
        <f t="shared" si="19"/>
        <v>0.22631578947368422</v>
      </c>
    </row>
    <row r="1282" spans="1:17" x14ac:dyDescent="0.3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  <c r="L1282" t="str">
        <f>VLOOKUP(D1282, Products!A:C, 3, FALSE)</f>
        <v>Sports</v>
      </c>
      <c r="M1282" t="str">
        <f>IFERROR(VLOOKUP(C1282, Customers!A:E, 5, FALSE), "Unknown")</f>
        <v>SMB</v>
      </c>
      <c r="N1282" t="str">
        <f>VLOOKUP(E1282, Sales_Reps!A:C, 3, FALSE)</f>
        <v>West</v>
      </c>
      <c r="O1282">
        <f>VLOOKUP(D1282, Products!A:D, 4, FALSE)</f>
        <v>2028</v>
      </c>
      <c r="P1282">
        <f>IFERROR(VLOOKUP(C1282, Customers!A:C, 3, FALSE), 0)</f>
        <v>28</v>
      </c>
      <c r="Q1282">
        <f t="shared" si="19"/>
        <v>0.29090909090909089</v>
      </c>
    </row>
    <row r="1283" spans="1:17" x14ac:dyDescent="0.3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  <c r="L1283" t="str">
        <f>VLOOKUP(D1283, Products!A:C, 3, FALSE)</f>
        <v>Electronics</v>
      </c>
      <c r="M1283" t="str">
        <f>IFERROR(VLOOKUP(C1283, Customers!A:E, 5, FALSE), "Unknown")</f>
        <v>SMB</v>
      </c>
      <c r="N1283" t="str">
        <f>VLOOKUP(E1283, Sales_Reps!A:C, 3, FALSE)</f>
        <v>West</v>
      </c>
      <c r="O1283">
        <f>VLOOKUP(D1283, Products!A:D, 4, FALSE)</f>
        <v>128</v>
      </c>
      <c r="P1283">
        <f>IFERROR(VLOOKUP(C1283, Customers!A:C, 3, FALSE), 0)</f>
        <v>50</v>
      </c>
      <c r="Q1283">
        <f t="shared" ref="Q1283:Q1346" si="20">(G1283 - O1283) / G1283</f>
        <v>0.57333333333333336</v>
      </c>
    </row>
    <row r="1284" spans="1:17" x14ac:dyDescent="0.3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  <c r="L1284" t="str">
        <f>VLOOKUP(D1284, Products!A:C, 3, FALSE)</f>
        <v>Beauty</v>
      </c>
      <c r="M1284" t="str">
        <f>IFERROR(VLOOKUP(C1284, Customers!A:E, 5, FALSE), "Unknown")</f>
        <v>Retail</v>
      </c>
      <c r="N1284" t="str">
        <f>VLOOKUP(E1284, Sales_Reps!A:C, 3, FALSE)</f>
        <v>North</v>
      </c>
      <c r="O1284">
        <f>VLOOKUP(D1284, Products!A:D, 4, FALSE)</f>
        <v>675</v>
      </c>
      <c r="P1284">
        <f>IFERROR(VLOOKUP(C1284, Customers!A:C, 3, FALSE), 0)</f>
        <v>40</v>
      </c>
      <c r="Q1284">
        <f t="shared" si="20"/>
        <v>0.296875</v>
      </c>
    </row>
    <row r="1285" spans="1:17" x14ac:dyDescent="0.3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  <c r="L1285" t="str">
        <f>VLOOKUP(D1285, Products!A:C, 3, FALSE)</f>
        <v>Apparel</v>
      </c>
      <c r="M1285" t="str">
        <f>IFERROR(VLOOKUP(C1285, Customers!A:E, 5, FALSE), "Unknown")</f>
        <v>Retail</v>
      </c>
      <c r="N1285" t="str">
        <f>VLOOKUP(E1285, Sales_Reps!A:C, 3, FALSE)</f>
        <v>South</v>
      </c>
      <c r="O1285">
        <f>VLOOKUP(D1285, Products!A:D, 4, FALSE)</f>
        <v>391</v>
      </c>
      <c r="P1285">
        <f>IFERROR(VLOOKUP(C1285, Customers!A:C, 3, FALSE), 0)</f>
        <v>54</v>
      </c>
      <c r="Q1285">
        <f t="shared" si="20"/>
        <v>0.52317073170731709</v>
      </c>
    </row>
    <row r="1286" spans="1:17" x14ac:dyDescent="0.3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  <c r="L1286" t="str">
        <f>VLOOKUP(D1286, Products!A:C, 3, FALSE)</f>
        <v>Home</v>
      </c>
      <c r="M1286" t="str">
        <f>IFERROR(VLOOKUP(C1286, Customers!A:E, 5, FALSE), "Unknown")</f>
        <v>Retail</v>
      </c>
      <c r="N1286" t="str">
        <f>VLOOKUP(E1286, Sales_Reps!A:C, 3, FALSE)</f>
        <v>North</v>
      </c>
      <c r="O1286">
        <f>VLOOKUP(D1286, Products!A:D, 4, FALSE)</f>
        <v>288</v>
      </c>
      <c r="P1286">
        <f>IFERROR(VLOOKUP(C1286, Customers!A:C, 3, FALSE), 0)</f>
        <v>28</v>
      </c>
      <c r="Q1286">
        <f t="shared" si="20"/>
        <v>0.22162162162162163</v>
      </c>
    </row>
    <row r="1287" spans="1:17" x14ac:dyDescent="0.3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  <c r="L1287" t="str">
        <f>VLOOKUP(D1287, Products!A:C, 3, FALSE)</f>
        <v>Home</v>
      </c>
      <c r="M1287" t="str">
        <f>IFERROR(VLOOKUP(C1287, Customers!A:E, 5, FALSE), "Unknown")</f>
        <v>Retail</v>
      </c>
      <c r="N1287" t="str">
        <f>VLOOKUP(E1287, Sales_Reps!A:C, 3, FALSE)</f>
        <v>East</v>
      </c>
      <c r="O1287">
        <f>VLOOKUP(D1287, Products!A:D, 4, FALSE)</f>
        <v>2549</v>
      </c>
      <c r="P1287">
        <f>IFERROR(VLOOKUP(C1287, Customers!A:C, 3, FALSE), 0)</f>
        <v>35</v>
      </c>
      <c r="Q1287">
        <f t="shared" si="20"/>
        <v>0.53570127504553733</v>
      </c>
    </row>
    <row r="1288" spans="1:17" x14ac:dyDescent="0.3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  <c r="L1288" t="str">
        <f>VLOOKUP(D1288, Products!A:C, 3, FALSE)</f>
        <v>Home</v>
      </c>
      <c r="M1288" t="str">
        <f>IFERROR(VLOOKUP(C1288, Customers!A:E, 5, FALSE), "Unknown")</f>
        <v>SMB</v>
      </c>
      <c r="N1288" t="str">
        <f>VLOOKUP(E1288, Sales_Reps!A:C, 3, FALSE)</f>
        <v>East</v>
      </c>
      <c r="O1288">
        <f>VLOOKUP(D1288, Products!A:D, 4, FALSE)</f>
        <v>288</v>
      </c>
      <c r="P1288">
        <f>IFERROR(VLOOKUP(C1288, Customers!A:C, 3, FALSE), 0)</f>
        <v>28</v>
      </c>
      <c r="Q1288">
        <f t="shared" si="20"/>
        <v>0.22162162162162163</v>
      </c>
    </row>
    <row r="1289" spans="1:17" x14ac:dyDescent="0.3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  <c r="L1289" t="str">
        <f>VLOOKUP(D1289, Products!A:C, 3, FALSE)</f>
        <v>Sports</v>
      </c>
      <c r="M1289" t="str">
        <f>IFERROR(VLOOKUP(C1289, Customers!A:E, 5, FALSE), "Unknown")</f>
        <v>SMB</v>
      </c>
      <c r="N1289" t="str">
        <f>VLOOKUP(E1289, Sales_Reps!A:C, 3, FALSE)</f>
        <v>East</v>
      </c>
      <c r="O1289">
        <f>VLOOKUP(D1289, Products!A:D, 4, FALSE)</f>
        <v>147</v>
      </c>
      <c r="P1289">
        <f>IFERROR(VLOOKUP(C1289, Customers!A:C, 3, FALSE), 0)</f>
        <v>48</v>
      </c>
      <c r="Q1289">
        <f t="shared" si="20"/>
        <v>0.22631578947368422</v>
      </c>
    </row>
    <row r="1290" spans="1:17" x14ac:dyDescent="0.3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  <c r="L1290" t="str">
        <f>VLOOKUP(D1290, Products!A:C, 3, FALSE)</f>
        <v>Grocery</v>
      </c>
      <c r="M1290" t="str">
        <f>IFERROR(VLOOKUP(C1290, Customers!A:E, 5, FALSE), "Unknown")</f>
        <v>SMB</v>
      </c>
      <c r="N1290" t="str">
        <f>VLOOKUP(E1290, Sales_Reps!A:C, 3, FALSE)</f>
        <v>East</v>
      </c>
      <c r="O1290">
        <f>VLOOKUP(D1290, Products!A:D, 4, FALSE)</f>
        <v>1010</v>
      </c>
      <c r="P1290">
        <f>IFERROR(VLOOKUP(C1290, Customers!A:C, 3, FALSE), 0)</f>
        <v>44</v>
      </c>
      <c r="Q1290">
        <f t="shared" si="20"/>
        <v>0.54298642533936647</v>
      </c>
    </row>
    <row r="1291" spans="1:17" x14ac:dyDescent="0.3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  <c r="L1291" t="str">
        <f>VLOOKUP(D1291, Products!A:C, 3, FALSE)</f>
        <v>Beauty</v>
      </c>
      <c r="M1291" t="str">
        <f>IFERROR(VLOOKUP(C1291, Customers!A:E, 5, FALSE), "Unknown")</f>
        <v>Retail</v>
      </c>
      <c r="N1291" t="str">
        <f>VLOOKUP(E1291, Sales_Reps!A:C, 3, FALSE)</f>
        <v>South</v>
      </c>
      <c r="O1291">
        <f>VLOOKUP(D1291, Products!A:D, 4, FALSE)</f>
        <v>1222</v>
      </c>
      <c r="P1291">
        <f>IFERROR(VLOOKUP(C1291, Customers!A:C, 3, FALSE), 0)</f>
        <v>55</v>
      </c>
      <c r="Q1291">
        <f t="shared" si="20"/>
        <v>0.2593939393939394</v>
      </c>
    </row>
    <row r="1292" spans="1:17" x14ac:dyDescent="0.3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  <c r="L1292" t="str">
        <f>VLOOKUP(D1292, Products!A:C, 3, FALSE)</f>
        <v>Home</v>
      </c>
      <c r="M1292" t="str">
        <f>IFERROR(VLOOKUP(C1292, Customers!A:E, 5, FALSE), "Unknown")</f>
        <v>Retail</v>
      </c>
      <c r="N1292" t="str">
        <f>VLOOKUP(E1292, Sales_Reps!A:C, 3, FALSE)</f>
        <v>South</v>
      </c>
      <c r="O1292">
        <f>VLOOKUP(D1292, Products!A:D, 4, FALSE)</f>
        <v>329</v>
      </c>
      <c r="P1292">
        <f>IFERROR(VLOOKUP(C1292, Customers!A:C, 3, FALSE), 0)</f>
        <v>32</v>
      </c>
      <c r="Q1292">
        <f t="shared" si="20"/>
        <v>0.50151515151515147</v>
      </c>
    </row>
    <row r="1293" spans="1:17" x14ac:dyDescent="0.3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  <c r="L1293" t="str">
        <f>VLOOKUP(D1293, Products!A:C, 3, FALSE)</f>
        <v>Home</v>
      </c>
      <c r="M1293" t="str">
        <f>IFERROR(VLOOKUP(C1293, Customers!A:E, 5, FALSE), "Unknown")</f>
        <v>SMB</v>
      </c>
      <c r="N1293" t="str">
        <f>VLOOKUP(E1293, Sales_Reps!A:C, 3, FALSE)</f>
        <v>North</v>
      </c>
      <c r="O1293">
        <f>VLOOKUP(D1293, Products!A:D, 4, FALSE)</f>
        <v>1850</v>
      </c>
      <c r="P1293">
        <f>IFERROR(VLOOKUP(C1293, Customers!A:C, 3, FALSE), 0)</f>
        <v>44</v>
      </c>
      <c r="Q1293">
        <f t="shared" si="20"/>
        <v>0.59869848156182215</v>
      </c>
    </row>
    <row r="1294" spans="1:17" x14ac:dyDescent="0.3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  <c r="L1294" t="str">
        <f>VLOOKUP(D1294, Products!A:C, 3, FALSE)</f>
        <v>Grocery</v>
      </c>
      <c r="M1294" t="str">
        <f>IFERROR(VLOOKUP(C1294, Customers!A:E, 5, FALSE), "Unknown")</f>
        <v>SMB</v>
      </c>
      <c r="N1294" t="str">
        <f>VLOOKUP(E1294, Sales_Reps!A:C, 3, FALSE)</f>
        <v>West</v>
      </c>
      <c r="O1294">
        <f>VLOOKUP(D1294, Products!A:D, 4, FALSE)</f>
        <v>1010</v>
      </c>
      <c r="P1294">
        <f>IFERROR(VLOOKUP(C1294, Customers!A:C, 3, FALSE), 0)</f>
        <v>22</v>
      </c>
      <c r="Q1294">
        <f t="shared" si="20"/>
        <v>0.54298642533936647</v>
      </c>
    </row>
    <row r="1295" spans="1:17" x14ac:dyDescent="0.3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  <c r="L1295" t="str">
        <f>VLOOKUP(D1295, Products!A:C, 3, FALSE)</f>
        <v>Beauty</v>
      </c>
      <c r="M1295" t="str">
        <f>IFERROR(VLOOKUP(C1295, Customers!A:E, 5, FALSE), "Unknown")</f>
        <v>SMB</v>
      </c>
      <c r="N1295" t="str">
        <f>VLOOKUP(E1295, Sales_Reps!A:C, 3, FALSE)</f>
        <v>East</v>
      </c>
      <c r="O1295">
        <f>VLOOKUP(D1295, Products!A:D, 4, FALSE)</f>
        <v>1219</v>
      </c>
      <c r="P1295">
        <f>IFERROR(VLOOKUP(C1295, Customers!A:C, 3, FALSE), 0)</f>
        <v>62</v>
      </c>
      <c r="Q1295">
        <f t="shared" si="20"/>
        <v>0.46768558951965067</v>
      </c>
    </row>
    <row r="1296" spans="1:17" x14ac:dyDescent="0.3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  <c r="L1296" t="str">
        <f>VLOOKUP(D1296, Products!A:C, 3, FALSE)</f>
        <v>Home</v>
      </c>
      <c r="M1296" t="str">
        <f>IFERROR(VLOOKUP(C1296, Customers!A:E, 5, FALSE), "Unknown")</f>
        <v>Corporate</v>
      </c>
      <c r="N1296" t="str">
        <f>VLOOKUP(E1296, Sales_Reps!A:C, 3, FALSE)</f>
        <v>West</v>
      </c>
      <c r="O1296">
        <f>VLOOKUP(D1296, Products!A:D, 4, FALSE)</f>
        <v>519</v>
      </c>
      <c r="P1296">
        <f>IFERROR(VLOOKUP(C1296, Customers!A:C, 3, FALSE), 0)</f>
        <v>46</v>
      </c>
      <c r="Q1296">
        <f t="shared" si="20"/>
        <v>0.51944444444444449</v>
      </c>
    </row>
    <row r="1297" spans="1:17" x14ac:dyDescent="0.3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  <c r="L1297" t="str">
        <f>VLOOKUP(D1297, Products!A:C, 3, FALSE)</f>
        <v>Sports</v>
      </c>
      <c r="M1297" t="str">
        <f>IFERROR(VLOOKUP(C1297, Customers!A:E, 5, FALSE), "Unknown")</f>
        <v>SMB</v>
      </c>
      <c r="N1297" t="str">
        <f>VLOOKUP(E1297, Sales_Reps!A:C, 3, FALSE)</f>
        <v>South</v>
      </c>
      <c r="O1297">
        <f>VLOOKUP(D1297, Products!A:D, 4, FALSE)</f>
        <v>705</v>
      </c>
      <c r="P1297">
        <f>IFERROR(VLOOKUP(C1297, Customers!A:C, 3, FALSE), 0)</f>
        <v>30</v>
      </c>
      <c r="Q1297">
        <f t="shared" si="20"/>
        <v>0.265625</v>
      </c>
    </row>
    <row r="1298" spans="1:17" x14ac:dyDescent="0.3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  <c r="L1298" t="str">
        <f>VLOOKUP(D1298, Products!A:C, 3, FALSE)</f>
        <v>Sports</v>
      </c>
      <c r="M1298" t="str">
        <f>IFERROR(VLOOKUP(C1298, Customers!A:E, 5, FALSE), "Unknown")</f>
        <v>SMB</v>
      </c>
      <c r="N1298" t="str">
        <f>VLOOKUP(E1298, Sales_Reps!A:C, 3, FALSE)</f>
        <v>North</v>
      </c>
      <c r="O1298">
        <f>VLOOKUP(D1298, Products!A:D, 4, FALSE)</f>
        <v>974</v>
      </c>
      <c r="P1298">
        <f>IFERROR(VLOOKUP(C1298, Customers!A:C, 3, FALSE), 0)</f>
        <v>47</v>
      </c>
      <c r="Q1298">
        <f t="shared" si="20"/>
        <v>0.59416666666666662</v>
      </c>
    </row>
    <row r="1299" spans="1:17" x14ac:dyDescent="0.3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  <c r="L1299" t="str">
        <f>VLOOKUP(D1299, Products!A:C, 3, FALSE)</f>
        <v>Beauty</v>
      </c>
      <c r="M1299" t="str">
        <f>IFERROR(VLOOKUP(C1299, Customers!A:E, 5, FALSE), "Unknown")</f>
        <v>Retail</v>
      </c>
      <c r="N1299" t="str">
        <f>VLOOKUP(E1299, Sales_Reps!A:C, 3, FALSE)</f>
        <v>South</v>
      </c>
      <c r="O1299">
        <f>VLOOKUP(D1299, Products!A:D, 4, FALSE)</f>
        <v>1219</v>
      </c>
      <c r="P1299">
        <f>IFERROR(VLOOKUP(C1299, Customers!A:C, 3, FALSE), 0)</f>
        <v>38</v>
      </c>
      <c r="Q1299">
        <f t="shared" si="20"/>
        <v>0.46768558951965067</v>
      </c>
    </row>
    <row r="1300" spans="1:17" x14ac:dyDescent="0.3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  <c r="L1300" t="str">
        <f>VLOOKUP(D1300, Products!A:C, 3, FALSE)</f>
        <v>Home</v>
      </c>
      <c r="M1300" t="str">
        <f>IFERROR(VLOOKUP(C1300, Customers!A:E, 5, FALSE), "Unknown")</f>
        <v>Retail</v>
      </c>
      <c r="N1300" t="str">
        <f>VLOOKUP(E1300, Sales_Reps!A:C, 3, FALSE)</f>
        <v>East</v>
      </c>
      <c r="O1300">
        <f>VLOOKUP(D1300, Products!A:D, 4, FALSE)</f>
        <v>519</v>
      </c>
      <c r="P1300">
        <f>IFERROR(VLOOKUP(C1300, Customers!A:C, 3, FALSE), 0)</f>
        <v>37</v>
      </c>
      <c r="Q1300">
        <f t="shared" si="20"/>
        <v>0.51944444444444449</v>
      </c>
    </row>
    <row r="1301" spans="1:17" x14ac:dyDescent="0.3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  <c r="L1301" t="str">
        <f>VLOOKUP(D1301, Products!A:C, 3, FALSE)</f>
        <v>Home</v>
      </c>
      <c r="M1301" t="str">
        <f>IFERROR(VLOOKUP(C1301, Customers!A:E, 5, FALSE), "Unknown")</f>
        <v>Retail</v>
      </c>
      <c r="N1301" t="str">
        <f>VLOOKUP(E1301, Sales_Reps!A:C, 3, FALSE)</f>
        <v>North</v>
      </c>
      <c r="O1301">
        <f>VLOOKUP(D1301, Products!A:D, 4, FALSE)</f>
        <v>464</v>
      </c>
      <c r="P1301">
        <f>IFERROR(VLOOKUP(C1301, Customers!A:C, 3, FALSE), 0)</f>
        <v>55</v>
      </c>
      <c r="Q1301">
        <f t="shared" si="20"/>
        <v>0.57431192660550456</v>
      </c>
    </row>
    <row r="1302" spans="1:17" x14ac:dyDescent="0.3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  <c r="L1302" t="str">
        <f>VLOOKUP(D1302, Products!A:C, 3, FALSE)</f>
        <v>Grocery</v>
      </c>
      <c r="M1302" t="str">
        <f>IFERROR(VLOOKUP(C1302, Customers!A:E, 5, FALSE), "Unknown")</f>
        <v>Retail</v>
      </c>
      <c r="N1302" t="str">
        <f>VLOOKUP(E1302, Sales_Reps!A:C, 3, FALSE)</f>
        <v>East</v>
      </c>
      <c r="O1302">
        <f>VLOOKUP(D1302, Products!A:D, 4, FALSE)</f>
        <v>1010</v>
      </c>
      <c r="P1302">
        <f>IFERROR(VLOOKUP(C1302, Customers!A:C, 3, FALSE), 0)</f>
        <v>37</v>
      </c>
      <c r="Q1302">
        <f t="shared" si="20"/>
        <v>0.54298642533936647</v>
      </c>
    </row>
    <row r="1303" spans="1:17" x14ac:dyDescent="0.3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  <c r="L1303" t="str">
        <f>VLOOKUP(D1303, Products!A:C, 3, FALSE)</f>
        <v>Apparel</v>
      </c>
      <c r="M1303" t="str">
        <f>IFERROR(VLOOKUP(C1303, Customers!A:E, 5, FALSE), "Unknown")</f>
        <v>Corporate</v>
      </c>
      <c r="N1303" t="str">
        <f>VLOOKUP(E1303, Sales_Reps!A:C, 3, FALSE)</f>
        <v>South</v>
      </c>
      <c r="O1303">
        <f>VLOOKUP(D1303, Products!A:D, 4, FALSE)</f>
        <v>2509</v>
      </c>
      <c r="P1303">
        <f>IFERROR(VLOOKUP(C1303, Customers!A:C, 3, FALSE), 0)</f>
        <v>47</v>
      </c>
      <c r="Q1303">
        <f t="shared" si="20"/>
        <v>0.3069060773480663</v>
      </c>
    </row>
    <row r="1304" spans="1:17" x14ac:dyDescent="0.3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  <c r="L1304" t="str">
        <f>VLOOKUP(D1304, Products!A:C, 3, FALSE)</f>
        <v>Home</v>
      </c>
      <c r="M1304" t="str">
        <f>IFERROR(VLOOKUP(C1304, Customers!A:E, 5, FALSE), "Unknown")</f>
        <v>Retail</v>
      </c>
      <c r="N1304" t="str">
        <f>VLOOKUP(E1304, Sales_Reps!A:C, 3, FALSE)</f>
        <v>South</v>
      </c>
      <c r="O1304">
        <f>VLOOKUP(D1304, Products!A:D, 4, FALSE)</f>
        <v>1143</v>
      </c>
      <c r="P1304">
        <f>IFERROR(VLOOKUP(C1304, Customers!A:C, 3, FALSE), 0)</f>
        <v>26</v>
      </c>
      <c r="Q1304">
        <f t="shared" si="20"/>
        <v>0.43694581280788175</v>
      </c>
    </row>
    <row r="1305" spans="1:17" x14ac:dyDescent="0.3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  <c r="L1305" t="str">
        <f>VLOOKUP(D1305, Products!A:C, 3, FALSE)</f>
        <v>Electronics</v>
      </c>
      <c r="M1305" t="str">
        <f>IFERROR(VLOOKUP(C1305, Customers!A:E, 5, FALSE), "Unknown")</f>
        <v>Corporate</v>
      </c>
      <c r="N1305" t="str">
        <f>VLOOKUP(E1305, Sales_Reps!A:C, 3, FALSE)</f>
        <v>East</v>
      </c>
      <c r="O1305">
        <f>VLOOKUP(D1305, Products!A:D, 4, FALSE)</f>
        <v>1559</v>
      </c>
      <c r="P1305">
        <f>IFERROR(VLOOKUP(C1305, Customers!A:C, 3, FALSE), 0)</f>
        <v>26</v>
      </c>
      <c r="Q1305">
        <f t="shared" si="20"/>
        <v>0.59715762273901807</v>
      </c>
    </row>
    <row r="1306" spans="1:17" x14ac:dyDescent="0.3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  <c r="L1306" t="str">
        <f>VLOOKUP(D1306, Products!A:C, 3, FALSE)</f>
        <v>Electronics</v>
      </c>
      <c r="M1306" t="str">
        <f>IFERROR(VLOOKUP(C1306, Customers!A:E, 5, FALSE), "Unknown")</f>
        <v>Retail</v>
      </c>
      <c r="N1306" t="str">
        <f>VLOOKUP(E1306, Sales_Reps!A:C, 3, FALSE)</f>
        <v>South</v>
      </c>
      <c r="O1306">
        <f>VLOOKUP(D1306, Products!A:D, 4, FALSE)</f>
        <v>1665</v>
      </c>
      <c r="P1306">
        <f>IFERROR(VLOOKUP(C1306, Customers!A:C, 3, FALSE), 0)</f>
        <v>52</v>
      </c>
      <c r="Q1306">
        <f t="shared" si="20"/>
        <v>0.53361344537815125</v>
      </c>
    </row>
    <row r="1307" spans="1:17" x14ac:dyDescent="0.3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  <c r="L1307" t="str">
        <f>VLOOKUP(D1307, Products!A:C, 3, FALSE)</f>
        <v>Electronics</v>
      </c>
      <c r="M1307" t="str">
        <f>IFERROR(VLOOKUP(C1307, Customers!A:E, 5, FALSE), "Unknown")</f>
        <v>Corporate</v>
      </c>
      <c r="N1307" t="str">
        <f>VLOOKUP(E1307, Sales_Reps!A:C, 3, FALSE)</f>
        <v>East</v>
      </c>
      <c r="O1307">
        <f>VLOOKUP(D1307, Products!A:D, 4, FALSE)</f>
        <v>2405</v>
      </c>
      <c r="P1307">
        <f>IFERROR(VLOOKUP(C1307, Customers!A:C, 3, FALSE), 0)</f>
        <v>31</v>
      </c>
      <c r="Q1307">
        <f t="shared" si="20"/>
        <v>0.54878048780487809</v>
      </c>
    </row>
    <row r="1308" spans="1:17" x14ac:dyDescent="0.3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  <c r="L1308" t="str">
        <f>VLOOKUP(D1308, Products!A:C, 3, FALSE)</f>
        <v>Electronics</v>
      </c>
      <c r="M1308" t="str">
        <f>IFERROR(VLOOKUP(C1308, Customers!A:E, 5, FALSE), "Unknown")</f>
        <v>Retail</v>
      </c>
      <c r="N1308" t="str">
        <f>VLOOKUP(E1308, Sales_Reps!A:C, 3, FALSE)</f>
        <v>South</v>
      </c>
      <c r="O1308">
        <f>VLOOKUP(D1308, Products!A:D, 4, FALSE)</f>
        <v>517</v>
      </c>
      <c r="P1308">
        <f>IFERROR(VLOOKUP(C1308, Customers!A:C, 3, FALSE), 0)</f>
        <v>36</v>
      </c>
      <c r="Q1308">
        <f t="shared" si="20"/>
        <v>0.57622950819672136</v>
      </c>
    </row>
    <row r="1309" spans="1:17" x14ac:dyDescent="0.3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  <c r="L1309" t="str">
        <f>VLOOKUP(D1309, Products!A:C, 3, FALSE)</f>
        <v>Apparel</v>
      </c>
      <c r="M1309" t="str">
        <f>IFERROR(VLOOKUP(C1309, Customers!A:E, 5, FALSE), "Unknown")</f>
        <v>Retail</v>
      </c>
      <c r="N1309" t="str">
        <f>VLOOKUP(E1309, Sales_Reps!A:C, 3, FALSE)</f>
        <v>East</v>
      </c>
      <c r="O1309">
        <f>VLOOKUP(D1309, Products!A:D, 4, FALSE)</f>
        <v>1748</v>
      </c>
      <c r="P1309">
        <f>IFERROR(VLOOKUP(C1309, Customers!A:C, 3, FALSE), 0)</f>
        <v>49</v>
      </c>
      <c r="Q1309">
        <f t="shared" si="20"/>
        <v>0.49333333333333335</v>
      </c>
    </row>
    <row r="1310" spans="1:17" x14ac:dyDescent="0.3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  <c r="L1310" t="str">
        <f>VLOOKUP(D1310, Products!A:C, 3, FALSE)</f>
        <v>Apparel</v>
      </c>
      <c r="M1310" t="str">
        <f>IFERROR(VLOOKUP(C1310, Customers!A:E, 5, FALSE), "Unknown")</f>
        <v>SMB</v>
      </c>
      <c r="N1310" t="str">
        <f>VLOOKUP(E1310, Sales_Reps!A:C, 3, FALSE)</f>
        <v>South</v>
      </c>
      <c r="O1310">
        <f>VLOOKUP(D1310, Products!A:D, 4, FALSE)</f>
        <v>2629</v>
      </c>
      <c r="P1310">
        <f>IFERROR(VLOOKUP(C1310, Customers!A:C, 3, FALSE), 0)</f>
        <v>65</v>
      </c>
      <c r="Q1310">
        <f t="shared" si="20"/>
        <v>0.26151685393258428</v>
      </c>
    </row>
    <row r="1311" spans="1:17" x14ac:dyDescent="0.3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  <c r="L1311" t="str">
        <f>VLOOKUP(D1311, Products!A:C, 3, FALSE)</f>
        <v>Home</v>
      </c>
      <c r="M1311" t="str">
        <f>IFERROR(VLOOKUP(C1311, Customers!A:E, 5, FALSE), "Unknown")</f>
        <v>Corporate</v>
      </c>
      <c r="N1311" t="str">
        <f>VLOOKUP(E1311, Sales_Reps!A:C, 3, FALSE)</f>
        <v>North</v>
      </c>
      <c r="O1311">
        <f>VLOOKUP(D1311, Products!A:D, 4, FALSE)</f>
        <v>288</v>
      </c>
      <c r="P1311">
        <f>IFERROR(VLOOKUP(C1311, Customers!A:C, 3, FALSE), 0)</f>
        <v>36</v>
      </c>
      <c r="Q1311">
        <f t="shared" si="20"/>
        <v>0.22162162162162163</v>
      </c>
    </row>
    <row r="1312" spans="1:17" x14ac:dyDescent="0.3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  <c r="L1312" t="str">
        <f>VLOOKUP(D1312, Products!A:C, 3, FALSE)</f>
        <v>Electronics</v>
      </c>
      <c r="M1312" t="str">
        <f>IFERROR(VLOOKUP(C1312, Customers!A:E, 5, FALSE), "Unknown")</f>
        <v>Retail</v>
      </c>
      <c r="N1312" t="str">
        <f>VLOOKUP(E1312, Sales_Reps!A:C, 3, FALSE)</f>
        <v>North</v>
      </c>
      <c r="O1312">
        <f>VLOOKUP(D1312, Products!A:D, 4, FALSE)</f>
        <v>517</v>
      </c>
      <c r="P1312">
        <f>IFERROR(VLOOKUP(C1312, Customers!A:C, 3, FALSE), 0)</f>
        <v>48</v>
      </c>
      <c r="Q1312">
        <f t="shared" si="20"/>
        <v>0.57622950819672136</v>
      </c>
    </row>
    <row r="1313" spans="1:17" x14ac:dyDescent="0.3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  <c r="L1313" t="str">
        <f>VLOOKUP(D1313, Products!A:C, 3, FALSE)</f>
        <v>Apparel</v>
      </c>
      <c r="M1313" t="str">
        <f>IFERROR(VLOOKUP(C1313, Customers!A:E, 5, FALSE), "Unknown")</f>
        <v>SMB</v>
      </c>
      <c r="N1313" t="str">
        <f>VLOOKUP(E1313, Sales_Reps!A:C, 3, FALSE)</f>
        <v>North</v>
      </c>
      <c r="O1313">
        <f>VLOOKUP(D1313, Products!A:D, 4, FALSE)</f>
        <v>2611</v>
      </c>
      <c r="P1313">
        <f>IFERROR(VLOOKUP(C1313, Customers!A:C, 3, FALSE), 0)</f>
        <v>39</v>
      </c>
      <c r="Q1313">
        <f t="shared" si="20"/>
        <v>0.28269230769230769</v>
      </c>
    </row>
    <row r="1314" spans="1:17" x14ac:dyDescent="0.3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  <c r="L1314" t="str">
        <f>VLOOKUP(D1314, Products!A:C, 3, FALSE)</f>
        <v>Beauty</v>
      </c>
      <c r="M1314" t="str">
        <f>IFERROR(VLOOKUP(C1314, Customers!A:E, 5, FALSE), "Unknown")</f>
        <v>Corporate</v>
      </c>
      <c r="N1314" t="str">
        <f>VLOOKUP(E1314, Sales_Reps!A:C, 3, FALSE)</f>
        <v>South</v>
      </c>
      <c r="O1314">
        <f>VLOOKUP(D1314, Products!A:D, 4, FALSE)</f>
        <v>1626</v>
      </c>
      <c r="P1314">
        <f>IFERROR(VLOOKUP(C1314, Customers!A:C, 3, FALSE), 0)</f>
        <v>62</v>
      </c>
      <c r="Q1314">
        <f t="shared" si="20"/>
        <v>0.46158940397350995</v>
      </c>
    </row>
    <row r="1315" spans="1:17" x14ac:dyDescent="0.3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  <c r="L1315" t="str">
        <f>VLOOKUP(D1315, Products!A:C, 3, FALSE)</f>
        <v>Beauty</v>
      </c>
      <c r="M1315" t="str">
        <f>IFERROR(VLOOKUP(C1315, Customers!A:E, 5, FALSE), "Unknown")</f>
        <v>Retail</v>
      </c>
      <c r="N1315" t="str">
        <f>VLOOKUP(E1315, Sales_Reps!A:C, 3, FALSE)</f>
        <v>North</v>
      </c>
      <c r="O1315">
        <f>VLOOKUP(D1315, Products!A:D, 4, FALSE)</f>
        <v>2237</v>
      </c>
      <c r="P1315">
        <f>IFERROR(VLOOKUP(C1315, Customers!A:C, 3, FALSE), 0)</f>
        <v>27</v>
      </c>
      <c r="Q1315">
        <f t="shared" si="20"/>
        <v>0.56137254901960787</v>
      </c>
    </row>
    <row r="1316" spans="1:17" x14ac:dyDescent="0.3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  <c r="L1316" t="str">
        <f>VLOOKUP(D1316, Products!A:C, 3, FALSE)</f>
        <v>Electronics</v>
      </c>
      <c r="M1316" t="str">
        <f>IFERROR(VLOOKUP(C1316, Customers!A:E, 5, FALSE), "Unknown")</f>
        <v>Retail</v>
      </c>
      <c r="N1316" t="str">
        <f>VLOOKUP(E1316, Sales_Reps!A:C, 3, FALSE)</f>
        <v>North</v>
      </c>
      <c r="O1316">
        <f>VLOOKUP(D1316, Products!A:D, 4, FALSE)</f>
        <v>128</v>
      </c>
      <c r="P1316">
        <f>IFERROR(VLOOKUP(C1316, Customers!A:C, 3, FALSE), 0)</f>
        <v>49</v>
      </c>
      <c r="Q1316">
        <f t="shared" si="20"/>
        <v>0.57333333333333336</v>
      </c>
    </row>
    <row r="1317" spans="1:17" x14ac:dyDescent="0.3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  <c r="L1317" t="str">
        <f>VLOOKUP(D1317, Products!A:C, 3, FALSE)</f>
        <v>Beauty</v>
      </c>
      <c r="M1317" t="str">
        <f>IFERROR(VLOOKUP(C1317, Customers!A:E, 5, FALSE), "Unknown")</f>
        <v>SMB</v>
      </c>
      <c r="N1317" t="str">
        <f>VLOOKUP(E1317, Sales_Reps!A:C, 3, FALSE)</f>
        <v>North</v>
      </c>
      <c r="O1317">
        <f>VLOOKUP(D1317, Products!A:D, 4, FALSE)</f>
        <v>1219</v>
      </c>
      <c r="P1317">
        <f>IFERROR(VLOOKUP(C1317, Customers!A:C, 3, FALSE), 0)</f>
        <v>44</v>
      </c>
      <c r="Q1317">
        <f t="shared" si="20"/>
        <v>0.46768558951965067</v>
      </c>
    </row>
    <row r="1318" spans="1:17" x14ac:dyDescent="0.3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  <c r="L1318" t="str">
        <f>VLOOKUP(D1318, Products!A:C, 3, FALSE)</f>
        <v>Apparel</v>
      </c>
      <c r="M1318" t="str">
        <f>IFERROR(VLOOKUP(C1318, Customers!A:E, 5, FALSE), "Unknown")</f>
        <v>Corporate</v>
      </c>
      <c r="N1318" t="str">
        <f>VLOOKUP(E1318, Sales_Reps!A:C, 3, FALSE)</f>
        <v>West</v>
      </c>
      <c r="O1318">
        <f>VLOOKUP(D1318, Products!A:D, 4, FALSE)</f>
        <v>2611</v>
      </c>
      <c r="P1318">
        <f>IFERROR(VLOOKUP(C1318, Customers!A:C, 3, FALSE), 0)</f>
        <v>55</v>
      </c>
      <c r="Q1318">
        <f t="shared" si="20"/>
        <v>0.28269230769230769</v>
      </c>
    </row>
    <row r="1319" spans="1:17" x14ac:dyDescent="0.3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  <c r="L1319" t="str">
        <f>VLOOKUP(D1319, Products!A:C, 3, FALSE)</f>
        <v>Apparel</v>
      </c>
      <c r="M1319" t="str">
        <f>IFERROR(VLOOKUP(C1319, Customers!A:E, 5, FALSE), "Unknown")</f>
        <v>Retail</v>
      </c>
      <c r="N1319" t="str">
        <f>VLOOKUP(E1319, Sales_Reps!A:C, 3, FALSE)</f>
        <v>East</v>
      </c>
      <c r="O1319">
        <f>VLOOKUP(D1319, Products!A:D, 4, FALSE)</f>
        <v>391</v>
      </c>
      <c r="P1319">
        <f>IFERROR(VLOOKUP(C1319, Customers!A:C, 3, FALSE), 0)</f>
        <v>52</v>
      </c>
      <c r="Q1319">
        <f t="shared" si="20"/>
        <v>0.52317073170731709</v>
      </c>
    </row>
    <row r="1320" spans="1:17" x14ac:dyDescent="0.3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  <c r="L1320" t="str">
        <f>VLOOKUP(D1320, Products!A:C, 3, FALSE)</f>
        <v>Grocery</v>
      </c>
      <c r="M1320" t="str">
        <f>IFERROR(VLOOKUP(C1320, Customers!A:E, 5, FALSE), "Unknown")</f>
        <v>Corporate</v>
      </c>
      <c r="N1320" t="str">
        <f>VLOOKUP(E1320, Sales_Reps!A:C, 3, FALSE)</f>
        <v>South</v>
      </c>
      <c r="O1320">
        <f>VLOOKUP(D1320, Products!A:D, 4, FALSE)</f>
        <v>434</v>
      </c>
      <c r="P1320">
        <f>IFERROR(VLOOKUP(C1320, Customers!A:C, 3, FALSE), 0)</f>
        <v>42</v>
      </c>
      <c r="Q1320">
        <f t="shared" si="20"/>
        <v>0.5525773195876289</v>
      </c>
    </row>
    <row r="1321" spans="1:17" x14ac:dyDescent="0.3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  <c r="L1321" t="str">
        <f>VLOOKUP(D1321, Products!A:C, 3, FALSE)</f>
        <v>Apparel</v>
      </c>
      <c r="M1321" t="str">
        <f>IFERROR(VLOOKUP(C1321, Customers!A:E, 5, FALSE), "Unknown")</f>
        <v>Retail</v>
      </c>
      <c r="N1321" t="str">
        <f>VLOOKUP(E1321, Sales_Reps!A:C, 3, FALSE)</f>
        <v>East</v>
      </c>
      <c r="O1321">
        <f>VLOOKUP(D1321, Products!A:D, 4, FALSE)</f>
        <v>2629</v>
      </c>
      <c r="P1321">
        <f>IFERROR(VLOOKUP(C1321, Customers!A:C, 3, FALSE), 0)</f>
        <v>60</v>
      </c>
      <c r="Q1321">
        <f t="shared" si="20"/>
        <v>0.26151685393258428</v>
      </c>
    </row>
    <row r="1322" spans="1:17" x14ac:dyDescent="0.3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  <c r="L1322" t="str">
        <f>VLOOKUP(D1322, Products!A:C, 3, FALSE)</f>
        <v>Home</v>
      </c>
      <c r="M1322" t="str">
        <f>IFERROR(VLOOKUP(C1322, Customers!A:E, 5, FALSE), "Unknown")</f>
        <v>Retail</v>
      </c>
      <c r="N1322" t="str">
        <f>VLOOKUP(E1322, Sales_Reps!A:C, 3, FALSE)</f>
        <v>South</v>
      </c>
      <c r="O1322">
        <f>VLOOKUP(D1322, Products!A:D, 4, FALSE)</f>
        <v>464</v>
      </c>
      <c r="P1322">
        <f>IFERROR(VLOOKUP(C1322, Customers!A:C, 3, FALSE), 0)</f>
        <v>60</v>
      </c>
      <c r="Q1322">
        <f t="shared" si="20"/>
        <v>0.57431192660550456</v>
      </c>
    </row>
    <row r="1323" spans="1:17" x14ac:dyDescent="0.3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  <c r="L1323" t="str">
        <f>VLOOKUP(D1323, Products!A:C, 3, FALSE)</f>
        <v>Electronics</v>
      </c>
      <c r="M1323" t="str">
        <f>IFERROR(VLOOKUP(C1323, Customers!A:E, 5, FALSE), "Unknown")</f>
        <v>Retail</v>
      </c>
      <c r="N1323" t="str">
        <f>VLOOKUP(E1323, Sales_Reps!A:C, 3, FALSE)</f>
        <v>East</v>
      </c>
      <c r="O1323">
        <f>VLOOKUP(D1323, Products!A:D, 4, FALSE)</f>
        <v>1259</v>
      </c>
      <c r="P1323">
        <f>IFERROR(VLOOKUP(C1323, Customers!A:C, 3, FALSE), 0)</f>
        <v>33</v>
      </c>
      <c r="Q1323">
        <f t="shared" si="20"/>
        <v>0.52669172932330832</v>
      </c>
    </row>
    <row r="1324" spans="1:17" x14ac:dyDescent="0.3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  <c r="L1324" t="str">
        <f>VLOOKUP(D1324, Products!A:C, 3, FALSE)</f>
        <v>Electronics</v>
      </c>
      <c r="M1324" t="str">
        <f>IFERROR(VLOOKUP(C1324, Customers!A:E, 5, FALSE), "Unknown")</f>
        <v>Retail</v>
      </c>
      <c r="N1324" t="str">
        <f>VLOOKUP(E1324, Sales_Reps!A:C, 3, FALSE)</f>
        <v>North</v>
      </c>
      <c r="O1324">
        <f>VLOOKUP(D1324, Products!A:D, 4, FALSE)</f>
        <v>2865</v>
      </c>
      <c r="P1324">
        <f>IFERROR(VLOOKUP(C1324, Customers!A:C, 3, FALSE), 0)</f>
        <v>28</v>
      </c>
      <c r="Q1324">
        <f t="shared" si="20"/>
        <v>0.27833753148614609</v>
      </c>
    </row>
    <row r="1325" spans="1:17" x14ac:dyDescent="0.3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  <c r="L1325" t="str">
        <f>VLOOKUP(D1325, Products!A:C, 3, FALSE)</f>
        <v>Sports</v>
      </c>
      <c r="M1325" t="str">
        <f>IFERROR(VLOOKUP(C1325, Customers!A:E, 5, FALSE), "Unknown")</f>
        <v>Retail</v>
      </c>
      <c r="N1325" t="str">
        <f>VLOOKUP(E1325, Sales_Reps!A:C, 3, FALSE)</f>
        <v>East</v>
      </c>
      <c r="O1325">
        <f>VLOOKUP(D1325, Products!A:D, 4, FALSE)</f>
        <v>2827</v>
      </c>
      <c r="P1325">
        <f>IFERROR(VLOOKUP(C1325, Customers!A:C, 3, FALSE), 0)</f>
        <v>49</v>
      </c>
      <c r="Q1325">
        <f t="shared" si="20"/>
        <v>0.5926512968299712</v>
      </c>
    </row>
    <row r="1326" spans="1:17" x14ac:dyDescent="0.3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  <c r="L1326" t="str">
        <f>VLOOKUP(D1326, Products!A:C, 3, FALSE)</f>
        <v>Sports</v>
      </c>
      <c r="M1326" t="str">
        <f>IFERROR(VLOOKUP(C1326, Customers!A:E, 5, FALSE), "Unknown")</f>
        <v>SMB</v>
      </c>
      <c r="N1326" t="str">
        <f>VLOOKUP(E1326, Sales_Reps!A:C, 3, FALSE)</f>
        <v>North</v>
      </c>
      <c r="O1326">
        <f>VLOOKUP(D1326, Products!A:D, 4, FALSE)</f>
        <v>974</v>
      </c>
      <c r="P1326">
        <f>IFERROR(VLOOKUP(C1326, Customers!A:C, 3, FALSE), 0)</f>
        <v>27</v>
      </c>
      <c r="Q1326">
        <f t="shared" si="20"/>
        <v>0.59416666666666662</v>
      </c>
    </row>
    <row r="1327" spans="1:17" x14ac:dyDescent="0.3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  <c r="L1327" t="str">
        <f>VLOOKUP(D1327, Products!A:C, 3, FALSE)</f>
        <v>Sports</v>
      </c>
      <c r="M1327" t="str">
        <f>IFERROR(VLOOKUP(C1327, Customers!A:E, 5, FALSE), "Unknown")</f>
        <v>Retail</v>
      </c>
      <c r="N1327" t="str">
        <f>VLOOKUP(E1327, Sales_Reps!A:C, 3, FALSE)</f>
        <v>East</v>
      </c>
      <c r="O1327">
        <f>VLOOKUP(D1327, Products!A:D, 4, FALSE)</f>
        <v>2467</v>
      </c>
      <c r="P1327">
        <f>IFERROR(VLOOKUP(C1327, Customers!A:C, 3, FALSE), 0)</f>
        <v>44</v>
      </c>
      <c r="Q1327">
        <f t="shared" si="20"/>
        <v>0.28492753623188405</v>
      </c>
    </row>
    <row r="1328" spans="1:17" x14ac:dyDescent="0.3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  <c r="L1328" t="str">
        <f>VLOOKUP(D1328, Products!A:C, 3, FALSE)</f>
        <v>Electronics</v>
      </c>
      <c r="M1328" t="str">
        <f>IFERROR(VLOOKUP(C1328, Customers!A:E, 5, FALSE), "Unknown")</f>
        <v>SMB</v>
      </c>
      <c r="N1328" t="str">
        <f>VLOOKUP(E1328, Sales_Reps!A:C, 3, FALSE)</f>
        <v>North</v>
      </c>
      <c r="O1328">
        <f>VLOOKUP(D1328, Products!A:D, 4, FALSE)</f>
        <v>517</v>
      </c>
      <c r="P1328">
        <f>IFERROR(VLOOKUP(C1328, Customers!A:C, 3, FALSE), 0)</f>
        <v>30</v>
      </c>
      <c r="Q1328">
        <f t="shared" si="20"/>
        <v>0.57622950819672136</v>
      </c>
    </row>
    <row r="1329" spans="1:17" x14ac:dyDescent="0.3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  <c r="L1329" t="str">
        <f>VLOOKUP(D1329, Products!A:C, 3, FALSE)</f>
        <v>Apparel</v>
      </c>
      <c r="M1329" t="str">
        <f>IFERROR(VLOOKUP(C1329, Customers!A:E, 5, FALSE), "Unknown")</f>
        <v>Retail</v>
      </c>
      <c r="N1329" t="str">
        <f>VLOOKUP(E1329, Sales_Reps!A:C, 3, FALSE)</f>
        <v>North</v>
      </c>
      <c r="O1329">
        <f>VLOOKUP(D1329, Products!A:D, 4, FALSE)</f>
        <v>396</v>
      </c>
      <c r="P1329">
        <f>IFERROR(VLOOKUP(C1329, Customers!A:C, 3, FALSE), 0)</f>
        <v>62</v>
      </c>
      <c r="Q1329">
        <f t="shared" si="20"/>
        <v>0.36129032258064514</v>
      </c>
    </row>
    <row r="1330" spans="1:17" x14ac:dyDescent="0.3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  <c r="L1330" t="str">
        <f>VLOOKUP(D1330, Products!A:C, 3, FALSE)</f>
        <v>Electronics</v>
      </c>
      <c r="M1330" t="str">
        <f>IFERROR(VLOOKUP(C1330, Customers!A:E, 5, FALSE), "Unknown")</f>
        <v>SMB</v>
      </c>
      <c r="N1330" t="str">
        <f>VLOOKUP(E1330, Sales_Reps!A:C, 3, FALSE)</f>
        <v>East</v>
      </c>
      <c r="O1330">
        <f>VLOOKUP(D1330, Products!A:D, 4, FALSE)</f>
        <v>128</v>
      </c>
      <c r="P1330">
        <f>IFERROR(VLOOKUP(C1330, Customers!A:C, 3, FALSE), 0)</f>
        <v>64</v>
      </c>
      <c r="Q1330">
        <f t="shared" si="20"/>
        <v>0.57333333333333336</v>
      </c>
    </row>
    <row r="1331" spans="1:17" x14ac:dyDescent="0.3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  <c r="L1331" t="str">
        <f>VLOOKUP(D1331, Products!A:C, 3, FALSE)</f>
        <v>Sports</v>
      </c>
      <c r="M1331" t="str">
        <f>IFERROR(VLOOKUP(C1331, Customers!A:E, 5, FALSE), "Unknown")</f>
        <v>Retail</v>
      </c>
      <c r="N1331" t="str">
        <f>VLOOKUP(E1331, Sales_Reps!A:C, 3, FALSE)</f>
        <v>East</v>
      </c>
      <c r="O1331">
        <f>VLOOKUP(D1331, Products!A:D, 4, FALSE)</f>
        <v>516</v>
      </c>
      <c r="P1331">
        <f>IFERROR(VLOOKUP(C1331, Customers!A:C, 3, FALSE), 0)</f>
        <v>35</v>
      </c>
      <c r="Q1331">
        <f t="shared" si="20"/>
        <v>0.4891089108910891</v>
      </c>
    </row>
    <row r="1332" spans="1:17" x14ac:dyDescent="0.3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  <c r="L1332" t="str">
        <f>VLOOKUP(D1332, Products!A:C, 3, FALSE)</f>
        <v>Home</v>
      </c>
      <c r="M1332" t="str">
        <f>IFERROR(VLOOKUP(C1332, Customers!A:E, 5, FALSE), "Unknown")</f>
        <v>Retail</v>
      </c>
      <c r="N1332" t="str">
        <f>VLOOKUP(E1332, Sales_Reps!A:C, 3, FALSE)</f>
        <v>West</v>
      </c>
      <c r="O1332">
        <f>VLOOKUP(D1332, Products!A:D, 4, FALSE)</f>
        <v>2459</v>
      </c>
      <c r="P1332">
        <f>IFERROR(VLOOKUP(C1332, Customers!A:C, 3, FALSE), 0)</f>
        <v>63</v>
      </c>
      <c r="Q1332">
        <f t="shared" si="20"/>
        <v>0.51594488188976373</v>
      </c>
    </row>
    <row r="1333" spans="1:17" x14ac:dyDescent="0.3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  <c r="L1333" t="str">
        <f>VLOOKUP(D1333, Products!A:C, 3, FALSE)</f>
        <v>Apparel</v>
      </c>
      <c r="M1333" t="str">
        <f>IFERROR(VLOOKUP(C1333, Customers!A:E, 5, FALSE), "Unknown")</f>
        <v>SMB</v>
      </c>
      <c r="N1333" t="str">
        <f>VLOOKUP(E1333, Sales_Reps!A:C, 3, FALSE)</f>
        <v>West</v>
      </c>
      <c r="O1333">
        <f>VLOOKUP(D1333, Products!A:D, 4, FALSE)</f>
        <v>1886</v>
      </c>
      <c r="P1333">
        <f>IFERROR(VLOOKUP(C1333, Customers!A:C, 3, FALSE), 0)</f>
        <v>40</v>
      </c>
      <c r="Q1333">
        <f t="shared" si="20"/>
        <v>0.4031645569620253</v>
      </c>
    </row>
    <row r="1334" spans="1:17" x14ac:dyDescent="0.3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  <c r="L1334" t="str">
        <f>VLOOKUP(D1334, Products!A:C, 3, FALSE)</f>
        <v>Beauty</v>
      </c>
      <c r="M1334" t="str">
        <f>IFERROR(VLOOKUP(C1334, Customers!A:E, 5, FALSE), "Unknown")</f>
        <v>SMB</v>
      </c>
      <c r="N1334" t="str">
        <f>VLOOKUP(E1334, Sales_Reps!A:C, 3, FALSE)</f>
        <v>South</v>
      </c>
      <c r="O1334">
        <f>VLOOKUP(D1334, Products!A:D, 4, FALSE)</f>
        <v>2420</v>
      </c>
      <c r="P1334">
        <f>IFERROR(VLOOKUP(C1334, Customers!A:C, 3, FALSE), 0)</f>
        <v>49</v>
      </c>
      <c r="Q1334">
        <f t="shared" si="20"/>
        <v>0.29855072463768118</v>
      </c>
    </row>
    <row r="1335" spans="1:17" x14ac:dyDescent="0.3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  <c r="L1335" t="str">
        <f>VLOOKUP(D1335, Products!A:C, 3, FALSE)</f>
        <v>Electronics</v>
      </c>
      <c r="M1335" t="str">
        <f>IFERROR(VLOOKUP(C1335, Customers!A:E, 5, FALSE), "Unknown")</f>
        <v>Corporate</v>
      </c>
      <c r="N1335" t="str">
        <f>VLOOKUP(E1335, Sales_Reps!A:C, 3, FALSE)</f>
        <v>North</v>
      </c>
      <c r="O1335">
        <f>VLOOKUP(D1335, Products!A:D, 4, FALSE)</f>
        <v>2405</v>
      </c>
      <c r="P1335">
        <f>IFERROR(VLOOKUP(C1335, Customers!A:C, 3, FALSE), 0)</f>
        <v>47</v>
      </c>
      <c r="Q1335">
        <f t="shared" si="20"/>
        <v>0.54878048780487809</v>
      </c>
    </row>
    <row r="1336" spans="1:17" x14ac:dyDescent="0.3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  <c r="L1336" t="str">
        <f>VLOOKUP(D1336, Products!A:C, 3, FALSE)</f>
        <v>Sports</v>
      </c>
      <c r="M1336" t="str">
        <f>IFERROR(VLOOKUP(C1336, Customers!A:E, 5, FALSE), "Unknown")</f>
        <v>Retail</v>
      </c>
      <c r="N1336" t="str">
        <f>VLOOKUP(E1336, Sales_Reps!A:C, 3, FALSE)</f>
        <v>South</v>
      </c>
      <c r="O1336">
        <f>VLOOKUP(D1336, Products!A:D, 4, FALSE)</f>
        <v>2827</v>
      </c>
      <c r="P1336">
        <f>IFERROR(VLOOKUP(C1336, Customers!A:C, 3, FALSE), 0)</f>
        <v>44</v>
      </c>
      <c r="Q1336">
        <f t="shared" si="20"/>
        <v>0.5926512968299712</v>
      </c>
    </row>
    <row r="1337" spans="1:17" x14ac:dyDescent="0.3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  <c r="L1337" t="str">
        <f>VLOOKUP(D1337, Products!A:C, 3, FALSE)</f>
        <v>Home</v>
      </c>
      <c r="M1337" t="str">
        <f>IFERROR(VLOOKUP(C1337, Customers!A:E, 5, FALSE), "Unknown")</f>
        <v>Retail</v>
      </c>
      <c r="N1337" t="str">
        <f>VLOOKUP(E1337, Sales_Reps!A:C, 3, FALSE)</f>
        <v>West</v>
      </c>
      <c r="O1337">
        <f>VLOOKUP(D1337, Products!A:D, 4, FALSE)</f>
        <v>329</v>
      </c>
      <c r="P1337">
        <f>IFERROR(VLOOKUP(C1337, Customers!A:C, 3, FALSE), 0)</f>
        <v>34</v>
      </c>
      <c r="Q1337">
        <f t="shared" si="20"/>
        <v>0.50151515151515147</v>
      </c>
    </row>
    <row r="1338" spans="1:17" x14ac:dyDescent="0.3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  <c r="L1338" t="str">
        <f>VLOOKUP(D1338, Products!A:C, 3, FALSE)</f>
        <v>Beauty</v>
      </c>
      <c r="M1338" t="str">
        <f>IFERROR(VLOOKUP(C1338, Customers!A:E, 5, FALSE), "Unknown")</f>
        <v>Corporate</v>
      </c>
      <c r="N1338" t="str">
        <f>VLOOKUP(E1338, Sales_Reps!A:C, 3, FALSE)</f>
        <v>South</v>
      </c>
      <c r="O1338">
        <f>VLOOKUP(D1338, Products!A:D, 4, FALSE)</f>
        <v>2237</v>
      </c>
      <c r="P1338">
        <f>IFERROR(VLOOKUP(C1338, Customers!A:C, 3, FALSE), 0)</f>
        <v>52</v>
      </c>
      <c r="Q1338">
        <f t="shared" si="20"/>
        <v>0.56137254901960787</v>
      </c>
    </row>
    <row r="1339" spans="1:17" x14ac:dyDescent="0.3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  <c r="L1339" t="str">
        <f>VLOOKUP(D1339, Products!A:C, 3, FALSE)</f>
        <v>Beauty</v>
      </c>
      <c r="M1339" t="str">
        <f>IFERROR(VLOOKUP(C1339, Customers!A:E, 5, FALSE), "Unknown")</f>
        <v>Unknown</v>
      </c>
      <c r="N1339" t="str">
        <f>VLOOKUP(E1339, Sales_Reps!A:C, 3, FALSE)</f>
        <v>South</v>
      </c>
      <c r="O1339">
        <f>VLOOKUP(D1339, Products!A:D, 4, FALSE)</f>
        <v>1222</v>
      </c>
      <c r="P1339">
        <f>IFERROR(VLOOKUP(C1339, Customers!A:C, 3, FALSE), 0)</f>
        <v>0</v>
      </c>
      <c r="Q1339">
        <f t="shared" si="20"/>
        <v>0.2593939393939394</v>
      </c>
    </row>
    <row r="1340" spans="1:17" x14ac:dyDescent="0.3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  <c r="L1340" t="str">
        <f>VLOOKUP(D1340, Products!A:C, 3, FALSE)</f>
        <v>Apparel</v>
      </c>
      <c r="M1340" t="str">
        <f>IFERROR(VLOOKUP(C1340, Customers!A:E, 5, FALSE), "Unknown")</f>
        <v>Retail</v>
      </c>
      <c r="N1340" t="str">
        <f>VLOOKUP(E1340, Sales_Reps!A:C, 3, FALSE)</f>
        <v>East</v>
      </c>
      <c r="O1340">
        <f>VLOOKUP(D1340, Products!A:D, 4, FALSE)</f>
        <v>2611</v>
      </c>
      <c r="P1340">
        <f>IFERROR(VLOOKUP(C1340, Customers!A:C, 3, FALSE), 0)</f>
        <v>24</v>
      </c>
      <c r="Q1340">
        <f t="shared" si="20"/>
        <v>0.28269230769230769</v>
      </c>
    </row>
    <row r="1341" spans="1:17" x14ac:dyDescent="0.3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  <c r="L1341" t="str">
        <f>VLOOKUP(D1341, Products!A:C, 3, FALSE)</f>
        <v>Beauty</v>
      </c>
      <c r="M1341" t="str">
        <f>IFERROR(VLOOKUP(C1341, Customers!A:E, 5, FALSE), "Unknown")</f>
        <v>Retail</v>
      </c>
      <c r="N1341" t="str">
        <f>VLOOKUP(E1341, Sales_Reps!A:C, 3, FALSE)</f>
        <v>West</v>
      </c>
      <c r="O1341">
        <f>VLOOKUP(D1341, Products!A:D, 4, FALSE)</f>
        <v>2768</v>
      </c>
      <c r="P1341">
        <f>IFERROR(VLOOKUP(C1341, Customers!A:C, 3, FALSE), 0)</f>
        <v>64</v>
      </c>
      <c r="Q1341">
        <f t="shared" si="20"/>
        <v>0.43278688524590164</v>
      </c>
    </row>
    <row r="1342" spans="1:17" x14ac:dyDescent="0.3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  <c r="L1342" t="str">
        <f>VLOOKUP(D1342, Products!A:C, 3, FALSE)</f>
        <v>Electronics</v>
      </c>
      <c r="M1342" t="str">
        <f>IFERROR(VLOOKUP(C1342, Customers!A:E, 5, FALSE), "Unknown")</f>
        <v>Retail</v>
      </c>
      <c r="N1342" t="str">
        <f>VLOOKUP(E1342, Sales_Reps!A:C, 3, FALSE)</f>
        <v>West</v>
      </c>
      <c r="O1342">
        <f>VLOOKUP(D1342, Products!A:D, 4, FALSE)</f>
        <v>2405</v>
      </c>
      <c r="P1342">
        <f>IFERROR(VLOOKUP(C1342, Customers!A:C, 3, FALSE), 0)</f>
        <v>35</v>
      </c>
      <c r="Q1342">
        <f t="shared" si="20"/>
        <v>0.54878048780487809</v>
      </c>
    </row>
    <row r="1343" spans="1:17" x14ac:dyDescent="0.3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  <c r="L1343" t="str">
        <f>VLOOKUP(D1343, Products!A:C, 3, FALSE)</f>
        <v>Home</v>
      </c>
      <c r="M1343" t="str">
        <f>IFERROR(VLOOKUP(C1343, Customers!A:E, 5, FALSE), "Unknown")</f>
        <v>SMB</v>
      </c>
      <c r="N1343" t="str">
        <f>VLOOKUP(E1343, Sales_Reps!A:C, 3, FALSE)</f>
        <v>East</v>
      </c>
      <c r="O1343">
        <f>VLOOKUP(D1343, Products!A:D, 4, FALSE)</f>
        <v>2549</v>
      </c>
      <c r="P1343">
        <f>IFERROR(VLOOKUP(C1343, Customers!A:C, 3, FALSE), 0)</f>
        <v>49</v>
      </c>
      <c r="Q1343">
        <f t="shared" si="20"/>
        <v>0.53570127504553733</v>
      </c>
    </row>
    <row r="1344" spans="1:17" x14ac:dyDescent="0.3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  <c r="L1344" t="str">
        <f>VLOOKUP(D1344, Products!A:C, 3, FALSE)</f>
        <v>Sports</v>
      </c>
      <c r="M1344" t="str">
        <f>IFERROR(VLOOKUP(C1344, Customers!A:E, 5, FALSE), "Unknown")</f>
        <v>Corporate</v>
      </c>
      <c r="N1344" t="str">
        <f>VLOOKUP(E1344, Sales_Reps!A:C, 3, FALSE)</f>
        <v>North</v>
      </c>
      <c r="O1344">
        <f>VLOOKUP(D1344, Products!A:D, 4, FALSE)</f>
        <v>147</v>
      </c>
      <c r="P1344">
        <f>IFERROR(VLOOKUP(C1344, Customers!A:C, 3, FALSE), 0)</f>
        <v>55</v>
      </c>
      <c r="Q1344">
        <f t="shared" si="20"/>
        <v>0.22631578947368422</v>
      </c>
    </row>
    <row r="1345" spans="1:17" x14ac:dyDescent="0.3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  <c r="L1345" t="str">
        <f>VLOOKUP(D1345, Products!A:C, 3, FALSE)</f>
        <v>Apparel</v>
      </c>
      <c r="M1345" t="str">
        <f>IFERROR(VLOOKUP(C1345, Customers!A:E, 5, FALSE), "Unknown")</f>
        <v>Retail</v>
      </c>
      <c r="N1345" t="str">
        <f>VLOOKUP(E1345, Sales_Reps!A:C, 3, FALSE)</f>
        <v>South</v>
      </c>
      <c r="O1345">
        <f>VLOOKUP(D1345, Products!A:D, 4, FALSE)</f>
        <v>1886</v>
      </c>
      <c r="P1345">
        <f>IFERROR(VLOOKUP(C1345, Customers!A:C, 3, FALSE), 0)</f>
        <v>27</v>
      </c>
      <c r="Q1345">
        <f t="shared" si="20"/>
        <v>0.4031645569620253</v>
      </c>
    </row>
    <row r="1346" spans="1:17" x14ac:dyDescent="0.3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  <c r="L1346" t="str">
        <f>VLOOKUP(D1346, Products!A:C, 3, FALSE)</f>
        <v>Home</v>
      </c>
      <c r="M1346" t="str">
        <f>IFERROR(VLOOKUP(C1346, Customers!A:E, 5, FALSE), "Unknown")</f>
        <v>Retail</v>
      </c>
      <c r="N1346" t="str">
        <f>VLOOKUP(E1346, Sales_Reps!A:C, 3, FALSE)</f>
        <v>East</v>
      </c>
      <c r="O1346">
        <f>VLOOKUP(D1346, Products!A:D, 4, FALSE)</f>
        <v>464</v>
      </c>
      <c r="P1346">
        <f>IFERROR(VLOOKUP(C1346, Customers!A:C, 3, FALSE), 0)</f>
        <v>23</v>
      </c>
      <c r="Q1346">
        <f t="shared" si="20"/>
        <v>0.57431192660550456</v>
      </c>
    </row>
    <row r="1347" spans="1:17" x14ac:dyDescent="0.3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  <c r="L1347" t="str">
        <f>VLOOKUP(D1347, Products!A:C, 3, FALSE)</f>
        <v>Home</v>
      </c>
      <c r="M1347" t="str">
        <f>IFERROR(VLOOKUP(C1347, Customers!A:E, 5, FALSE), "Unknown")</f>
        <v>Corporate</v>
      </c>
      <c r="N1347" t="str">
        <f>VLOOKUP(E1347, Sales_Reps!A:C, 3, FALSE)</f>
        <v>North</v>
      </c>
      <c r="O1347">
        <f>VLOOKUP(D1347, Products!A:D, 4, FALSE)</f>
        <v>288</v>
      </c>
      <c r="P1347">
        <f>IFERROR(VLOOKUP(C1347, Customers!A:C, 3, FALSE), 0)</f>
        <v>27</v>
      </c>
      <c r="Q1347">
        <f t="shared" ref="Q1347:Q1410" si="21">(G1347 - O1347) / G1347</f>
        <v>0.22162162162162163</v>
      </c>
    </row>
    <row r="1348" spans="1:17" x14ac:dyDescent="0.3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  <c r="L1348" t="str">
        <f>VLOOKUP(D1348, Products!A:C, 3, FALSE)</f>
        <v>Electronics</v>
      </c>
      <c r="M1348" t="str">
        <f>IFERROR(VLOOKUP(C1348, Customers!A:E, 5, FALSE), "Unknown")</f>
        <v>Retail</v>
      </c>
      <c r="N1348" t="str">
        <f>VLOOKUP(E1348, Sales_Reps!A:C, 3, FALSE)</f>
        <v>North</v>
      </c>
      <c r="O1348">
        <f>VLOOKUP(D1348, Products!A:D, 4, FALSE)</f>
        <v>1259</v>
      </c>
      <c r="P1348">
        <f>IFERROR(VLOOKUP(C1348, Customers!A:C, 3, FALSE), 0)</f>
        <v>51</v>
      </c>
      <c r="Q1348">
        <f t="shared" si="21"/>
        <v>0.52669172932330832</v>
      </c>
    </row>
    <row r="1349" spans="1:17" x14ac:dyDescent="0.3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  <c r="L1349" t="str">
        <f>VLOOKUP(D1349, Products!A:C, 3, FALSE)</f>
        <v>Apparel</v>
      </c>
      <c r="M1349" t="str">
        <f>IFERROR(VLOOKUP(C1349, Customers!A:E, 5, FALSE), "Unknown")</f>
        <v>Retail</v>
      </c>
      <c r="N1349" t="str">
        <f>VLOOKUP(E1349, Sales_Reps!A:C, 3, FALSE)</f>
        <v>East</v>
      </c>
      <c r="O1349">
        <f>VLOOKUP(D1349, Products!A:D, 4, FALSE)</f>
        <v>2629</v>
      </c>
      <c r="P1349">
        <f>IFERROR(VLOOKUP(C1349, Customers!A:C, 3, FALSE), 0)</f>
        <v>34</v>
      </c>
      <c r="Q1349">
        <f t="shared" si="21"/>
        <v>0.26151685393258428</v>
      </c>
    </row>
    <row r="1350" spans="1:17" x14ac:dyDescent="0.3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  <c r="L1350" t="str">
        <f>VLOOKUP(D1350, Products!A:C, 3, FALSE)</f>
        <v>Beauty</v>
      </c>
      <c r="M1350" t="str">
        <f>IFERROR(VLOOKUP(C1350, Customers!A:E, 5, FALSE), "Unknown")</f>
        <v>Corporate</v>
      </c>
      <c r="N1350" t="str">
        <f>VLOOKUP(E1350, Sales_Reps!A:C, 3, FALSE)</f>
        <v>North</v>
      </c>
      <c r="O1350">
        <f>VLOOKUP(D1350, Products!A:D, 4, FALSE)</f>
        <v>675</v>
      </c>
      <c r="P1350">
        <f>IFERROR(VLOOKUP(C1350, Customers!A:C, 3, FALSE), 0)</f>
        <v>52</v>
      </c>
      <c r="Q1350">
        <f t="shared" si="21"/>
        <v>0.296875</v>
      </c>
    </row>
    <row r="1351" spans="1:17" x14ac:dyDescent="0.3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  <c r="L1351" t="str">
        <f>VLOOKUP(D1351, Products!A:C, 3, FALSE)</f>
        <v>Home</v>
      </c>
      <c r="M1351" t="str">
        <f>IFERROR(VLOOKUP(C1351, Customers!A:E, 5, FALSE), "Unknown")</f>
        <v>Retail</v>
      </c>
      <c r="N1351" t="str">
        <f>VLOOKUP(E1351, Sales_Reps!A:C, 3, FALSE)</f>
        <v>West</v>
      </c>
      <c r="O1351">
        <f>VLOOKUP(D1351, Products!A:D, 4, FALSE)</f>
        <v>288</v>
      </c>
      <c r="P1351">
        <f>IFERROR(VLOOKUP(C1351, Customers!A:C, 3, FALSE), 0)</f>
        <v>37</v>
      </c>
      <c r="Q1351">
        <f t="shared" si="21"/>
        <v>0.22162162162162163</v>
      </c>
    </row>
    <row r="1352" spans="1:17" x14ac:dyDescent="0.3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  <c r="L1352" t="str">
        <f>VLOOKUP(D1352, Products!A:C, 3, FALSE)</f>
        <v>Apparel</v>
      </c>
      <c r="M1352" t="str">
        <f>IFERROR(VLOOKUP(C1352, Customers!A:E, 5, FALSE), "Unknown")</f>
        <v>Retail</v>
      </c>
      <c r="N1352" t="str">
        <f>VLOOKUP(E1352, Sales_Reps!A:C, 3, FALSE)</f>
        <v>West</v>
      </c>
      <c r="O1352">
        <f>VLOOKUP(D1352, Products!A:D, 4, FALSE)</f>
        <v>1962</v>
      </c>
      <c r="P1352">
        <f>IFERROR(VLOOKUP(C1352, Customers!A:C, 3, FALSE), 0)</f>
        <v>37</v>
      </c>
      <c r="Q1352">
        <f t="shared" si="21"/>
        <v>0.2786764705882353</v>
      </c>
    </row>
    <row r="1353" spans="1:17" x14ac:dyDescent="0.3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  <c r="L1353" t="str">
        <f>VLOOKUP(D1353, Products!A:C, 3, FALSE)</f>
        <v>Home</v>
      </c>
      <c r="M1353" t="str">
        <f>IFERROR(VLOOKUP(C1353, Customers!A:E, 5, FALSE), "Unknown")</f>
        <v>Corporate</v>
      </c>
      <c r="N1353" t="str">
        <f>VLOOKUP(E1353, Sales_Reps!A:C, 3, FALSE)</f>
        <v>North</v>
      </c>
      <c r="O1353">
        <f>VLOOKUP(D1353, Products!A:D, 4, FALSE)</f>
        <v>2459</v>
      </c>
      <c r="P1353">
        <f>IFERROR(VLOOKUP(C1353, Customers!A:C, 3, FALSE), 0)</f>
        <v>24</v>
      </c>
      <c r="Q1353">
        <f t="shared" si="21"/>
        <v>0.51594488188976373</v>
      </c>
    </row>
    <row r="1354" spans="1:17" x14ac:dyDescent="0.3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  <c r="L1354" t="str">
        <f>VLOOKUP(D1354, Products!A:C, 3, FALSE)</f>
        <v>Beauty</v>
      </c>
      <c r="M1354" t="str">
        <f>IFERROR(VLOOKUP(C1354, Customers!A:E, 5, FALSE), "Unknown")</f>
        <v>Corporate</v>
      </c>
      <c r="N1354" t="str">
        <f>VLOOKUP(E1354, Sales_Reps!A:C, 3, FALSE)</f>
        <v>North</v>
      </c>
      <c r="O1354">
        <f>VLOOKUP(D1354, Products!A:D, 4, FALSE)</f>
        <v>1219</v>
      </c>
      <c r="P1354">
        <f>IFERROR(VLOOKUP(C1354, Customers!A:C, 3, FALSE), 0)</f>
        <v>25</v>
      </c>
      <c r="Q1354">
        <f t="shared" si="21"/>
        <v>0.46768558951965067</v>
      </c>
    </row>
    <row r="1355" spans="1:17" x14ac:dyDescent="0.3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  <c r="L1355" t="str">
        <f>VLOOKUP(D1355, Products!A:C, 3, FALSE)</f>
        <v>Grocery</v>
      </c>
      <c r="M1355" t="str">
        <f>IFERROR(VLOOKUP(C1355, Customers!A:E, 5, FALSE), "Unknown")</f>
        <v>Corporate</v>
      </c>
      <c r="N1355" t="str">
        <f>VLOOKUP(E1355, Sales_Reps!A:C, 3, FALSE)</f>
        <v>North</v>
      </c>
      <c r="O1355">
        <f>VLOOKUP(D1355, Products!A:D, 4, FALSE)</f>
        <v>1435</v>
      </c>
      <c r="P1355">
        <f>IFERROR(VLOOKUP(C1355, Customers!A:C, 3, FALSE), 0)</f>
        <v>42</v>
      </c>
      <c r="Q1355">
        <f t="shared" si="21"/>
        <v>0.48007246376811596</v>
      </c>
    </row>
    <row r="1356" spans="1:17" x14ac:dyDescent="0.3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  <c r="L1356" t="str">
        <f>VLOOKUP(D1356, Products!A:C, 3, FALSE)</f>
        <v>Grocery</v>
      </c>
      <c r="M1356" t="str">
        <f>IFERROR(VLOOKUP(C1356, Customers!A:E, 5, FALSE), "Unknown")</f>
        <v>Retail</v>
      </c>
      <c r="N1356" t="str">
        <f>VLOOKUP(E1356, Sales_Reps!A:C, 3, FALSE)</f>
        <v>West</v>
      </c>
      <c r="O1356">
        <f>VLOOKUP(D1356, Products!A:D, 4, FALSE)</f>
        <v>1203</v>
      </c>
      <c r="P1356">
        <f>IFERROR(VLOOKUP(C1356, Customers!A:C, 3, FALSE), 0)</f>
        <v>65</v>
      </c>
      <c r="Q1356">
        <f t="shared" si="21"/>
        <v>0.47004405286343615</v>
      </c>
    </row>
    <row r="1357" spans="1:17" x14ac:dyDescent="0.3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  <c r="L1357" t="str">
        <f>VLOOKUP(D1357, Products!A:C, 3, FALSE)</f>
        <v>Apparel</v>
      </c>
      <c r="M1357" t="str">
        <f>IFERROR(VLOOKUP(C1357, Customers!A:E, 5, FALSE), "Unknown")</f>
        <v>SMB</v>
      </c>
      <c r="N1357" t="str">
        <f>VLOOKUP(E1357, Sales_Reps!A:C, 3, FALSE)</f>
        <v>North</v>
      </c>
      <c r="O1357">
        <f>VLOOKUP(D1357, Products!A:D, 4, FALSE)</f>
        <v>1075</v>
      </c>
      <c r="P1357">
        <f>IFERROR(VLOOKUP(C1357, Customers!A:C, 3, FALSE), 0)</f>
        <v>53</v>
      </c>
      <c r="Q1357">
        <f t="shared" si="21"/>
        <v>0.57171314741035861</v>
      </c>
    </row>
    <row r="1358" spans="1:17" x14ac:dyDescent="0.3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  <c r="L1358" t="str">
        <f>VLOOKUP(D1358, Products!A:C, 3, FALSE)</f>
        <v>Grocery</v>
      </c>
      <c r="M1358" t="str">
        <f>IFERROR(VLOOKUP(C1358, Customers!A:E, 5, FALSE), "Unknown")</f>
        <v>Retail</v>
      </c>
      <c r="N1358" t="str">
        <f>VLOOKUP(E1358, Sales_Reps!A:C, 3, FALSE)</f>
        <v>South</v>
      </c>
      <c r="O1358">
        <f>VLOOKUP(D1358, Products!A:D, 4, FALSE)</f>
        <v>1182</v>
      </c>
      <c r="P1358">
        <f>IFERROR(VLOOKUP(C1358, Customers!A:C, 3, FALSE), 0)</f>
        <v>46</v>
      </c>
      <c r="Q1358">
        <f t="shared" si="21"/>
        <v>0.50336134453781511</v>
      </c>
    </row>
    <row r="1359" spans="1:17" x14ac:dyDescent="0.3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  <c r="L1359" t="str">
        <f>VLOOKUP(D1359, Products!A:C, 3, FALSE)</f>
        <v>Sports</v>
      </c>
      <c r="M1359" t="str">
        <f>IFERROR(VLOOKUP(C1359, Customers!A:E, 5, FALSE), "Unknown")</f>
        <v>Retail</v>
      </c>
      <c r="N1359" t="str">
        <f>VLOOKUP(E1359, Sales_Reps!A:C, 3, FALSE)</f>
        <v>East</v>
      </c>
      <c r="O1359">
        <f>VLOOKUP(D1359, Products!A:D, 4, FALSE)</f>
        <v>1860</v>
      </c>
      <c r="P1359">
        <f>IFERROR(VLOOKUP(C1359, Customers!A:C, 3, FALSE), 0)</f>
        <v>37</v>
      </c>
      <c r="Q1359">
        <f t="shared" si="21"/>
        <v>0.50793650793650791</v>
      </c>
    </row>
    <row r="1360" spans="1:17" x14ac:dyDescent="0.3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  <c r="L1360" t="str">
        <f>VLOOKUP(D1360, Products!A:C, 3, FALSE)</f>
        <v>Apparel</v>
      </c>
      <c r="M1360" t="str">
        <f>IFERROR(VLOOKUP(C1360, Customers!A:E, 5, FALSE), "Unknown")</f>
        <v>Retail</v>
      </c>
      <c r="N1360" t="str">
        <f>VLOOKUP(E1360, Sales_Reps!A:C, 3, FALSE)</f>
        <v>West</v>
      </c>
      <c r="O1360">
        <f>VLOOKUP(D1360, Products!A:D, 4, FALSE)</f>
        <v>1748</v>
      </c>
      <c r="P1360">
        <f>IFERROR(VLOOKUP(C1360, Customers!A:C, 3, FALSE), 0)</f>
        <v>35</v>
      </c>
      <c r="Q1360">
        <f t="shared" si="21"/>
        <v>0.49333333333333335</v>
      </c>
    </row>
    <row r="1361" spans="1:17" x14ac:dyDescent="0.3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  <c r="L1361" t="str">
        <f>VLOOKUP(D1361, Products!A:C, 3, FALSE)</f>
        <v>Beauty</v>
      </c>
      <c r="M1361" t="str">
        <f>IFERROR(VLOOKUP(C1361, Customers!A:E, 5, FALSE), "Unknown")</f>
        <v>Retail</v>
      </c>
      <c r="N1361" t="str">
        <f>VLOOKUP(E1361, Sales_Reps!A:C, 3, FALSE)</f>
        <v>North</v>
      </c>
      <c r="O1361">
        <f>VLOOKUP(D1361, Products!A:D, 4, FALSE)</f>
        <v>2768</v>
      </c>
      <c r="P1361">
        <f>IFERROR(VLOOKUP(C1361, Customers!A:C, 3, FALSE), 0)</f>
        <v>44</v>
      </c>
      <c r="Q1361">
        <f t="shared" si="21"/>
        <v>0.43278688524590164</v>
      </c>
    </row>
    <row r="1362" spans="1:17" x14ac:dyDescent="0.3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  <c r="L1362" t="str">
        <f>VLOOKUP(D1362, Products!A:C, 3, FALSE)</f>
        <v>Beauty</v>
      </c>
      <c r="M1362" t="str">
        <f>IFERROR(VLOOKUP(C1362, Customers!A:E, 5, FALSE), "Unknown")</f>
        <v>SMB</v>
      </c>
      <c r="N1362" t="str">
        <f>VLOOKUP(E1362, Sales_Reps!A:C, 3, FALSE)</f>
        <v>South</v>
      </c>
      <c r="O1362">
        <f>VLOOKUP(D1362, Products!A:D, 4, FALSE)</f>
        <v>675</v>
      </c>
      <c r="P1362">
        <f>IFERROR(VLOOKUP(C1362, Customers!A:C, 3, FALSE), 0)</f>
        <v>40</v>
      </c>
      <c r="Q1362">
        <f t="shared" si="21"/>
        <v>0.296875</v>
      </c>
    </row>
    <row r="1363" spans="1:17" x14ac:dyDescent="0.3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  <c r="L1363" t="str">
        <f>VLOOKUP(D1363, Products!A:C, 3, FALSE)</f>
        <v>Apparel</v>
      </c>
      <c r="M1363" t="str">
        <f>IFERROR(VLOOKUP(C1363, Customers!A:E, 5, FALSE), "Unknown")</f>
        <v>Retail</v>
      </c>
      <c r="N1363" t="str">
        <f>VLOOKUP(E1363, Sales_Reps!A:C, 3, FALSE)</f>
        <v>East</v>
      </c>
      <c r="O1363">
        <f>VLOOKUP(D1363, Products!A:D, 4, FALSE)</f>
        <v>2629</v>
      </c>
      <c r="P1363">
        <f>IFERROR(VLOOKUP(C1363, Customers!A:C, 3, FALSE), 0)</f>
        <v>22</v>
      </c>
      <c r="Q1363">
        <f t="shared" si="21"/>
        <v>0.26151685393258428</v>
      </c>
    </row>
    <row r="1364" spans="1:17" x14ac:dyDescent="0.3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  <c r="L1364" t="str">
        <f>VLOOKUP(D1364, Products!A:C, 3, FALSE)</f>
        <v>Grocery</v>
      </c>
      <c r="M1364" t="str">
        <f>IFERROR(VLOOKUP(C1364, Customers!A:E, 5, FALSE), "Unknown")</f>
        <v>Retail</v>
      </c>
      <c r="N1364" t="str">
        <f>VLOOKUP(E1364, Sales_Reps!A:C, 3, FALSE)</f>
        <v>North</v>
      </c>
      <c r="O1364">
        <f>VLOOKUP(D1364, Products!A:D, 4, FALSE)</f>
        <v>2911</v>
      </c>
      <c r="P1364">
        <f>IFERROR(VLOOKUP(C1364, Customers!A:C, 3, FALSE), 0)</f>
        <v>26</v>
      </c>
      <c r="Q1364">
        <f t="shared" si="21"/>
        <v>0.28300492610837441</v>
      </c>
    </row>
    <row r="1365" spans="1:17" x14ac:dyDescent="0.3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  <c r="L1365" t="str">
        <f>VLOOKUP(D1365, Products!A:C, 3, FALSE)</f>
        <v>Apparel</v>
      </c>
      <c r="M1365" t="str">
        <f>IFERROR(VLOOKUP(C1365, Customers!A:E, 5, FALSE), "Unknown")</f>
        <v>Corporate</v>
      </c>
      <c r="N1365" t="str">
        <f>VLOOKUP(E1365, Sales_Reps!A:C, 3, FALSE)</f>
        <v>East</v>
      </c>
      <c r="O1365">
        <f>VLOOKUP(D1365, Products!A:D, 4, FALSE)</f>
        <v>1962</v>
      </c>
      <c r="P1365">
        <f>IFERROR(VLOOKUP(C1365, Customers!A:C, 3, FALSE), 0)</f>
        <v>46</v>
      </c>
      <c r="Q1365">
        <f t="shared" si="21"/>
        <v>0.2786764705882353</v>
      </c>
    </row>
    <row r="1366" spans="1:17" x14ac:dyDescent="0.3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  <c r="L1366" t="str">
        <f>VLOOKUP(D1366, Products!A:C, 3, FALSE)</f>
        <v>Grocery</v>
      </c>
      <c r="M1366" t="str">
        <f>IFERROR(VLOOKUP(C1366, Customers!A:E, 5, FALSE), "Unknown")</f>
        <v>SMB</v>
      </c>
      <c r="N1366" t="str">
        <f>VLOOKUP(E1366, Sales_Reps!A:C, 3, FALSE)</f>
        <v>East</v>
      </c>
      <c r="O1366">
        <f>VLOOKUP(D1366, Products!A:D, 4, FALSE)</f>
        <v>1010</v>
      </c>
      <c r="P1366">
        <f>IFERROR(VLOOKUP(C1366, Customers!A:C, 3, FALSE), 0)</f>
        <v>43</v>
      </c>
      <c r="Q1366">
        <f t="shared" si="21"/>
        <v>0.54298642533936647</v>
      </c>
    </row>
    <row r="1367" spans="1:17" x14ac:dyDescent="0.3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  <c r="L1367" t="str">
        <f>VLOOKUP(D1367, Products!A:C, 3, FALSE)</f>
        <v>Beauty</v>
      </c>
      <c r="M1367" t="str">
        <f>IFERROR(VLOOKUP(C1367, Customers!A:E, 5, FALSE), "Unknown")</f>
        <v>Retail</v>
      </c>
      <c r="N1367" t="str">
        <f>VLOOKUP(E1367, Sales_Reps!A:C, 3, FALSE)</f>
        <v>South</v>
      </c>
      <c r="O1367">
        <f>VLOOKUP(D1367, Products!A:D, 4, FALSE)</f>
        <v>2420</v>
      </c>
      <c r="P1367">
        <f>IFERROR(VLOOKUP(C1367, Customers!A:C, 3, FALSE), 0)</f>
        <v>54</v>
      </c>
      <c r="Q1367">
        <f t="shared" si="21"/>
        <v>0.29855072463768118</v>
      </c>
    </row>
    <row r="1368" spans="1:17" x14ac:dyDescent="0.3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  <c r="L1368" t="str">
        <f>VLOOKUP(D1368, Products!A:C, 3, FALSE)</f>
        <v>Grocery</v>
      </c>
      <c r="M1368" t="str">
        <f>IFERROR(VLOOKUP(C1368, Customers!A:E, 5, FALSE), "Unknown")</f>
        <v>SMB</v>
      </c>
      <c r="N1368" t="str">
        <f>VLOOKUP(E1368, Sales_Reps!A:C, 3, FALSE)</f>
        <v>East</v>
      </c>
      <c r="O1368">
        <f>VLOOKUP(D1368, Products!A:D, 4, FALSE)</f>
        <v>1182</v>
      </c>
      <c r="P1368">
        <f>IFERROR(VLOOKUP(C1368, Customers!A:C, 3, FALSE), 0)</f>
        <v>36</v>
      </c>
      <c r="Q1368">
        <f t="shared" si="21"/>
        <v>0.50336134453781511</v>
      </c>
    </row>
    <row r="1369" spans="1:17" x14ac:dyDescent="0.3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  <c r="L1369" t="str">
        <f>VLOOKUP(D1369, Products!A:C, 3, FALSE)</f>
        <v>Grocery</v>
      </c>
      <c r="M1369" t="str">
        <f>IFERROR(VLOOKUP(C1369, Customers!A:E, 5, FALSE), "Unknown")</f>
        <v>SMB</v>
      </c>
      <c r="N1369" t="str">
        <f>VLOOKUP(E1369, Sales_Reps!A:C, 3, FALSE)</f>
        <v>North</v>
      </c>
      <c r="O1369">
        <f>VLOOKUP(D1369, Products!A:D, 4, FALSE)</f>
        <v>1182</v>
      </c>
      <c r="P1369">
        <f>IFERROR(VLOOKUP(C1369, Customers!A:C, 3, FALSE), 0)</f>
        <v>53</v>
      </c>
      <c r="Q1369">
        <f t="shared" si="21"/>
        <v>0.50336134453781511</v>
      </c>
    </row>
    <row r="1370" spans="1:17" x14ac:dyDescent="0.3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  <c r="L1370" t="str">
        <f>VLOOKUP(D1370, Products!A:C, 3, FALSE)</f>
        <v>Apparel</v>
      </c>
      <c r="M1370" t="str">
        <f>IFERROR(VLOOKUP(C1370, Customers!A:E, 5, FALSE), "Unknown")</f>
        <v>Corporate</v>
      </c>
      <c r="N1370" t="str">
        <f>VLOOKUP(E1370, Sales_Reps!A:C, 3, FALSE)</f>
        <v>South</v>
      </c>
      <c r="O1370">
        <f>VLOOKUP(D1370, Products!A:D, 4, FALSE)</f>
        <v>2629</v>
      </c>
      <c r="P1370">
        <f>IFERROR(VLOOKUP(C1370, Customers!A:C, 3, FALSE), 0)</f>
        <v>46</v>
      </c>
      <c r="Q1370">
        <f t="shared" si="21"/>
        <v>0.26151685393258428</v>
      </c>
    </row>
    <row r="1371" spans="1:17" x14ac:dyDescent="0.3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  <c r="L1371" t="str">
        <f>VLOOKUP(D1371, Products!A:C, 3, FALSE)</f>
        <v>Electronics</v>
      </c>
      <c r="M1371" t="str">
        <f>IFERROR(VLOOKUP(C1371, Customers!A:E, 5, FALSE), "Unknown")</f>
        <v>Corporate</v>
      </c>
      <c r="N1371" t="str">
        <f>VLOOKUP(E1371, Sales_Reps!A:C, 3, FALSE)</f>
        <v>East</v>
      </c>
      <c r="O1371">
        <f>VLOOKUP(D1371, Products!A:D, 4, FALSE)</f>
        <v>517</v>
      </c>
      <c r="P1371">
        <f>IFERROR(VLOOKUP(C1371, Customers!A:C, 3, FALSE), 0)</f>
        <v>35</v>
      </c>
      <c r="Q1371">
        <f t="shared" si="21"/>
        <v>0.57622950819672136</v>
      </c>
    </row>
    <row r="1372" spans="1:17" x14ac:dyDescent="0.3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  <c r="L1372" t="str">
        <f>VLOOKUP(D1372, Products!A:C, 3, FALSE)</f>
        <v>Sports</v>
      </c>
      <c r="M1372" t="str">
        <f>IFERROR(VLOOKUP(C1372, Customers!A:E, 5, FALSE), "Unknown")</f>
        <v>Retail</v>
      </c>
      <c r="N1372" t="str">
        <f>VLOOKUP(E1372, Sales_Reps!A:C, 3, FALSE)</f>
        <v>East</v>
      </c>
      <c r="O1372">
        <f>VLOOKUP(D1372, Products!A:D, 4, FALSE)</f>
        <v>2827</v>
      </c>
      <c r="P1372">
        <f>IFERROR(VLOOKUP(C1372, Customers!A:C, 3, FALSE), 0)</f>
        <v>37</v>
      </c>
      <c r="Q1372">
        <f t="shared" si="21"/>
        <v>0.5926512968299712</v>
      </c>
    </row>
    <row r="1373" spans="1:17" x14ac:dyDescent="0.3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  <c r="L1373" t="str">
        <f>VLOOKUP(D1373, Products!A:C, 3, FALSE)</f>
        <v>Home</v>
      </c>
      <c r="M1373" t="str">
        <f>IFERROR(VLOOKUP(C1373, Customers!A:E, 5, FALSE), "Unknown")</f>
        <v>SMB</v>
      </c>
      <c r="N1373" t="str">
        <f>VLOOKUP(E1373, Sales_Reps!A:C, 3, FALSE)</f>
        <v>East</v>
      </c>
      <c r="O1373">
        <f>VLOOKUP(D1373, Products!A:D, 4, FALSE)</f>
        <v>464</v>
      </c>
      <c r="P1373">
        <f>IFERROR(VLOOKUP(C1373, Customers!A:C, 3, FALSE), 0)</f>
        <v>43</v>
      </c>
      <c r="Q1373">
        <f t="shared" si="21"/>
        <v>0.57431192660550456</v>
      </c>
    </row>
    <row r="1374" spans="1:17" x14ac:dyDescent="0.3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  <c r="L1374" t="str">
        <f>VLOOKUP(D1374, Products!A:C, 3, FALSE)</f>
        <v>Grocery</v>
      </c>
      <c r="M1374" t="str">
        <f>IFERROR(VLOOKUP(C1374, Customers!A:E, 5, FALSE), "Unknown")</f>
        <v>Retail</v>
      </c>
      <c r="N1374" t="str">
        <f>VLOOKUP(E1374, Sales_Reps!A:C, 3, FALSE)</f>
        <v>West</v>
      </c>
      <c r="O1374">
        <f>VLOOKUP(D1374, Products!A:D, 4, FALSE)</f>
        <v>1182</v>
      </c>
      <c r="P1374">
        <f>IFERROR(VLOOKUP(C1374, Customers!A:C, 3, FALSE), 0)</f>
        <v>31</v>
      </c>
      <c r="Q1374">
        <f t="shared" si="21"/>
        <v>0.50336134453781511</v>
      </c>
    </row>
    <row r="1375" spans="1:17" x14ac:dyDescent="0.3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  <c r="L1375" t="str">
        <f>VLOOKUP(D1375, Products!A:C, 3, FALSE)</f>
        <v>Grocery</v>
      </c>
      <c r="M1375" t="str">
        <f>IFERROR(VLOOKUP(C1375, Customers!A:E, 5, FALSE), "Unknown")</f>
        <v>SMB</v>
      </c>
      <c r="N1375" t="str">
        <f>VLOOKUP(E1375, Sales_Reps!A:C, 3, FALSE)</f>
        <v>North</v>
      </c>
      <c r="O1375">
        <f>VLOOKUP(D1375, Products!A:D, 4, FALSE)</f>
        <v>1203</v>
      </c>
      <c r="P1375">
        <f>IFERROR(VLOOKUP(C1375, Customers!A:C, 3, FALSE), 0)</f>
        <v>43</v>
      </c>
      <c r="Q1375">
        <f t="shared" si="21"/>
        <v>0.47004405286343615</v>
      </c>
    </row>
    <row r="1376" spans="1:17" x14ac:dyDescent="0.3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  <c r="L1376" t="str">
        <f>VLOOKUP(D1376, Products!A:C, 3, FALSE)</f>
        <v>Home</v>
      </c>
      <c r="M1376" t="str">
        <f>IFERROR(VLOOKUP(C1376, Customers!A:E, 5, FALSE), "Unknown")</f>
        <v>Retail</v>
      </c>
      <c r="N1376" t="str">
        <f>VLOOKUP(E1376, Sales_Reps!A:C, 3, FALSE)</f>
        <v>East</v>
      </c>
      <c r="O1376">
        <f>VLOOKUP(D1376, Products!A:D, 4, FALSE)</f>
        <v>1143</v>
      </c>
      <c r="P1376">
        <f>IFERROR(VLOOKUP(C1376, Customers!A:C, 3, FALSE), 0)</f>
        <v>36</v>
      </c>
      <c r="Q1376">
        <f t="shared" si="21"/>
        <v>0.43694581280788175</v>
      </c>
    </row>
    <row r="1377" spans="1:17" x14ac:dyDescent="0.3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  <c r="L1377" t="str">
        <f>VLOOKUP(D1377, Products!A:C, 3, FALSE)</f>
        <v>Home</v>
      </c>
      <c r="M1377" t="str">
        <f>IFERROR(VLOOKUP(C1377, Customers!A:E, 5, FALSE), "Unknown")</f>
        <v>SMB</v>
      </c>
      <c r="N1377" t="str">
        <f>VLOOKUP(E1377, Sales_Reps!A:C, 3, FALSE)</f>
        <v>West</v>
      </c>
      <c r="O1377">
        <f>VLOOKUP(D1377, Products!A:D, 4, FALSE)</f>
        <v>464</v>
      </c>
      <c r="P1377">
        <f>IFERROR(VLOOKUP(C1377, Customers!A:C, 3, FALSE), 0)</f>
        <v>54</v>
      </c>
      <c r="Q1377">
        <f t="shared" si="21"/>
        <v>0.57431192660550456</v>
      </c>
    </row>
    <row r="1378" spans="1:17" x14ac:dyDescent="0.3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  <c r="L1378" t="str">
        <f>VLOOKUP(D1378, Products!A:C, 3, FALSE)</f>
        <v>Apparel</v>
      </c>
      <c r="M1378" t="str">
        <f>IFERROR(VLOOKUP(C1378, Customers!A:E, 5, FALSE), "Unknown")</f>
        <v>SMB</v>
      </c>
      <c r="N1378" t="str">
        <f>VLOOKUP(E1378, Sales_Reps!A:C, 3, FALSE)</f>
        <v>East</v>
      </c>
      <c r="O1378">
        <f>VLOOKUP(D1378, Products!A:D, 4, FALSE)</f>
        <v>1075</v>
      </c>
      <c r="P1378">
        <f>IFERROR(VLOOKUP(C1378, Customers!A:C, 3, FALSE), 0)</f>
        <v>43</v>
      </c>
      <c r="Q1378">
        <f t="shared" si="21"/>
        <v>0.57171314741035861</v>
      </c>
    </row>
    <row r="1379" spans="1:17" x14ac:dyDescent="0.3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  <c r="L1379" t="str">
        <f>VLOOKUP(D1379, Products!A:C, 3, FALSE)</f>
        <v>Grocery</v>
      </c>
      <c r="M1379" t="str">
        <f>IFERROR(VLOOKUP(C1379, Customers!A:E, 5, FALSE), "Unknown")</f>
        <v>Retail</v>
      </c>
      <c r="N1379" t="str">
        <f>VLOOKUP(E1379, Sales_Reps!A:C, 3, FALSE)</f>
        <v>West</v>
      </c>
      <c r="O1379">
        <f>VLOOKUP(D1379, Products!A:D, 4, FALSE)</f>
        <v>1203</v>
      </c>
      <c r="P1379">
        <f>IFERROR(VLOOKUP(C1379, Customers!A:C, 3, FALSE), 0)</f>
        <v>53</v>
      </c>
      <c r="Q1379">
        <f t="shared" si="21"/>
        <v>0.47004405286343615</v>
      </c>
    </row>
    <row r="1380" spans="1:17" x14ac:dyDescent="0.3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  <c r="L1380" t="str">
        <f>VLOOKUP(D1380, Products!A:C, 3, FALSE)</f>
        <v>Electronics</v>
      </c>
      <c r="M1380" t="str">
        <f>IFERROR(VLOOKUP(C1380, Customers!A:E, 5, FALSE), "Unknown")</f>
        <v>Corporate</v>
      </c>
      <c r="N1380" t="str">
        <f>VLOOKUP(E1380, Sales_Reps!A:C, 3, FALSE)</f>
        <v>West</v>
      </c>
      <c r="O1380">
        <f>VLOOKUP(D1380, Products!A:D, 4, FALSE)</f>
        <v>2865</v>
      </c>
      <c r="P1380">
        <f>IFERROR(VLOOKUP(C1380, Customers!A:C, 3, FALSE), 0)</f>
        <v>46</v>
      </c>
      <c r="Q1380">
        <f t="shared" si="21"/>
        <v>0.27833753148614609</v>
      </c>
    </row>
    <row r="1381" spans="1:17" x14ac:dyDescent="0.3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  <c r="L1381" t="str">
        <f>VLOOKUP(D1381, Products!A:C, 3, FALSE)</f>
        <v>Grocery</v>
      </c>
      <c r="M1381" t="str">
        <f>IFERROR(VLOOKUP(C1381, Customers!A:E, 5, FALSE), "Unknown")</f>
        <v>SMB</v>
      </c>
      <c r="N1381" t="str">
        <f>VLOOKUP(E1381, Sales_Reps!A:C, 3, FALSE)</f>
        <v>South</v>
      </c>
      <c r="O1381">
        <f>VLOOKUP(D1381, Products!A:D, 4, FALSE)</f>
        <v>1010</v>
      </c>
      <c r="P1381">
        <f>IFERROR(VLOOKUP(C1381, Customers!A:C, 3, FALSE), 0)</f>
        <v>65</v>
      </c>
      <c r="Q1381">
        <f t="shared" si="21"/>
        <v>0.54298642533936647</v>
      </c>
    </row>
    <row r="1382" spans="1:17" x14ac:dyDescent="0.3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  <c r="L1382" t="str">
        <f>VLOOKUP(D1382, Products!A:C, 3, FALSE)</f>
        <v>Beauty</v>
      </c>
      <c r="M1382" t="str">
        <f>IFERROR(VLOOKUP(C1382, Customers!A:E, 5, FALSE), "Unknown")</f>
        <v>Retail</v>
      </c>
      <c r="N1382" t="str">
        <f>VLOOKUP(E1382, Sales_Reps!A:C, 3, FALSE)</f>
        <v>East</v>
      </c>
      <c r="O1382">
        <f>VLOOKUP(D1382, Products!A:D, 4, FALSE)</f>
        <v>647</v>
      </c>
      <c r="P1382">
        <f>IFERROR(VLOOKUP(C1382, Customers!A:C, 3, FALSE), 0)</f>
        <v>44</v>
      </c>
      <c r="Q1382">
        <f t="shared" si="21"/>
        <v>0.57987012987012987</v>
      </c>
    </row>
    <row r="1383" spans="1:17" x14ac:dyDescent="0.3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  <c r="L1383" t="str">
        <f>VLOOKUP(D1383, Products!A:C, 3, FALSE)</f>
        <v>Home</v>
      </c>
      <c r="M1383" t="str">
        <f>IFERROR(VLOOKUP(C1383, Customers!A:E, 5, FALSE), "Unknown")</f>
        <v>Retail</v>
      </c>
      <c r="N1383" t="str">
        <f>VLOOKUP(E1383, Sales_Reps!A:C, 3, FALSE)</f>
        <v>West</v>
      </c>
      <c r="O1383">
        <f>VLOOKUP(D1383, Products!A:D, 4, FALSE)</f>
        <v>1850</v>
      </c>
      <c r="P1383">
        <f>IFERROR(VLOOKUP(C1383, Customers!A:C, 3, FALSE), 0)</f>
        <v>63</v>
      </c>
      <c r="Q1383">
        <f t="shared" si="21"/>
        <v>0.59869848156182215</v>
      </c>
    </row>
    <row r="1384" spans="1:17" x14ac:dyDescent="0.3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  <c r="L1384" t="str">
        <f>VLOOKUP(D1384, Products!A:C, 3, FALSE)</f>
        <v>Electronics</v>
      </c>
      <c r="M1384" t="str">
        <f>IFERROR(VLOOKUP(C1384, Customers!A:E, 5, FALSE), "Unknown")</f>
        <v>Retail</v>
      </c>
      <c r="N1384" t="str">
        <f>VLOOKUP(E1384, Sales_Reps!A:C, 3, FALSE)</f>
        <v>North</v>
      </c>
      <c r="O1384">
        <f>VLOOKUP(D1384, Products!A:D, 4, FALSE)</f>
        <v>2865</v>
      </c>
      <c r="P1384">
        <f>IFERROR(VLOOKUP(C1384, Customers!A:C, 3, FALSE), 0)</f>
        <v>56</v>
      </c>
      <c r="Q1384">
        <f t="shared" si="21"/>
        <v>0.27833753148614609</v>
      </c>
    </row>
    <row r="1385" spans="1:17" x14ac:dyDescent="0.3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  <c r="L1385" t="str">
        <f>VLOOKUP(D1385, Products!A:C, 3, FALSE)</f>
        <v>Electronics</v>
      </c>
      <c r="M1385" t="str">
        <f>IFERROR(VLOOKUP(C1385, Customers!A:E, 5, FALSE), "Unknown")</f>
        <v>Retail</v>
      </c>
      <c r="N1385" t="str">
        <f>VLOOKUP(E1385, Sales_Reps!A:C, 3, FALSE)</f>
        <v>North</v>
      </c>
      <c r="O1385">
        <f>VLOOKUP(D1385, Products!A:D, 4, FALSE)</f>
        <v>1259</v>
      </c>
      <c r="P1385">
        <f>IFERROR(VLOOKUP(C1385, Customers!A:C, 3, FALSE), 0)</f>
        <v>41</v>
      </c>
      <c r="Q1385">
        <f t="shared" si="21"/>
        <v>0.52669172932330832</v>
      </c>
    </row>
    <row r="1386" spans="1:17" x14ac:dyDescent="0.3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  <c r="L1386" t="str">
        <f>VLOOKUP(D1386, Products!A:C, 3, FALSE)</f>
        <v>Beauty</v>
      </c>
      <c r="M1386" t="str">
        <f>IFERROR(VLOOKUP(C1386, Customers!A:E, 5, FALSE), "Unknown")</f>
        <v>Corporate</v>
      </c>
      <c r="N1386" t="str">
        <f>VLOOKUP(E1386, Sales_Reps!A:C, 3, FALSE)</f>
        <v>East</v>
      </c>
      <c r="O1386">
        <f>VLOOKUP(D1386, Products!A:D, 4, FALSE)</f>
        <v>2420</v>
      </c>
      <c r="P1386">
        <f>IFERROR(VLOOKUP(C1386, Customers!A:C, 3, FALSE), 0)</f>
        <v>54</v>
      </c>
      <c r="Q1386">
        <f t="shared" si="21"/>
        <v>0.29855072463768118</v>
      </c>
    </row>
    <row r="1387" spans="1:17" x14ac:dyDescent="0.3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  <c r="L1387" t="str">
        <f>VLOOKUP(D1387, Products!A:C, 3, FALSE)</f>
        <v>Sports</v>
      </c>
      <c r="M1387" t="str">
        <f>IFERROR(VLOOKUP(C1387, Customers!A:E, 5, FALSE), "Unknown")</f>
        <v>SMB</v>
      </c>
      <c r="N1387" t="str">
        <f>VLOOKUP(E1387, Sales_Reps!A:C, 3, FALSE)</f>
        <v>North</v>
      </c>
      <c r="O1387">
        <f>VLOOKUP(D1387, Products!A:D, 4, FALSE)</f>
        <v>302</v>
      </c>
      <c r="P1387">
        <f>IFERROR(VLOOKUP(C1387, Customers!A:C, 3, FALSE), 0)</f>
        <v>48</v>
      </c>
      <c r="Q1387">
        <f t="shared" si="21"/>
        <v>0.35744680851063831</v>
      </c>
    </row>
    <row r="1388" spans="1:17" x14ac:dyDescent="0.3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  <c r="L1388" t="str">
        <f>VLOOKUP(D1388, Products!A:C, 3, FALSE)</f>
        <v>Sports</v>
      </c>
      <c r="M1388" t="str">
        <f>IFERROR(VLOOKUP(C1388, Customers!A:E, 5, FALSE), "Unknown")</f>
        <v>Retail</v>
      </c>
      <c r="N1388" t="str">
        <f>VLOOKUP(E1388, Sales_Reps!A:C, 3, FALSE)</f>
        <v>East</v>
      </c>
      <c r="O1388">
        <f>VLOOKUP(D1388, Products!A:D, 4, FALSE)</f>
        <v>1860</v>
      </c>
      <c r="P1388">
        <f>IFERROR(VLOOKUP(C1388, Customers!A:C, 3, FALSE), 0)</f>
        <v>22</v>
      </c>
      <c r="Q1388">
        <f t="shared" si="21"/>
        <v>0.50793650793650791</v>
      </c>
    </row>
    <row r="1389" spans="1:17" x14ac:dyDescent="0.3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  <c r="L1389" t="str">
        <f>VLOOKUP(D1389, Products!A:C, 3, FALSE)</f>
        <v>Apparel</v>
      </c>
      <c r="M1389" t="str">
        <f>IFERROR(VLOOKUP(C1389, Customers!A:E, 5, FALSE), "Unknown")</f>
        <v>SMB</v>
      </c>
      <c r="N1389" t="str">
        <f>VLOOKUP(E1389, Sales_Reps!A:C, 3, FALSE)</f>
        <v>West</v>
      </c>
      <c r="O1389">
        <f>VLOOKUP(D1389, Products!A:D, 4, FALSE)</f>
        <v>2509</v>
      </c>
      <c r="P1389">
        <f>IFERROR(VLOOKUP(C1389, Customers!A:C, 3, FALSE), 0)</f>
        <v>36</v>
      </c>
      <c r="Q1389">
        <f t="shared" si="21"/>
        <v>0.3069060773480663</v>
      </c>
    </row>
    <row r="1390" spans="1:17" x14ac:dyDescent="0.3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  <c r="L1390" t="str">
        <f>VLOOKUP(D1390, Products!A:C, 3, FALSE)</f>
        <v>Beauty</v>
      </c>
      <c r="M1390" t="str">
        <f>IFERROR(VLOOKUP(C1390, Customers!A:E, 5, FALSE), "Unknown")</f>
        <v>Retail</v>
      </c>
      <c r="N1390" t="str">
        <f>VLOOKUP(E1390, Sales_Reps!A:C, 3, FALSE)</f>
        <v>West</v>
      </c>
      <c r="O1390">
        <f>VLOOKUP(D1390, Products!A:D, 4, FALSE)</f>
        <v>675</v>
      </c>
      <c r="P1390">
        <f>IFERROR(VLOOKUP(C1390, Customers!A:C, 3, FALSE), 0)</f>
        <v>53</v>
      </c>
      <c r="Q1390">
        <f t="shared" si="21"/>
        <v>0.296875</v>
      </c>
    </row>
    <row r="1391" spans="1:17" x14ac:dyDescent="0.3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  <c r="L1391" t="str">
        <f>VLOOKUP(D1391, Products!A:C, 3, FALSE)</f>
        <v>Beauty</v>
      </c>
      <c r="M1391" t="str">
        <f>IFERROR(VLOOKUP(C1391, Customers!A:E, 5, FALSE), "Unknown")</f>
        <v>Retail</v>
      </c>
      <c r="N1391" t="str">
        <f>VLOOKUP(E1391, Sales_Reps!A:C, 3, FALSE)</f>
        <v>North</v>
      </c>
      <c r="O1391">
        <f>VLOOKUP(D1391, Products!A:D, 4, FALSE)</f>
        <v>1728</v>
      </c>
      <c r="P1391">
        <f>IFERROR(VLOOKUP(C1391, Customers!A:C, 3, FALSE), 0)</f>
        <v>28</v>
      </c>
      <c r="Q1391">
        <f t="shared" si="21"/>
        <v>0.48417910447761192</v>
      </c>
    </row>
    <row r="1392" spans="1:17" x14ac:dyDescent="0.3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  <c r="L1392" t="str">
        <f>VLOOKUP(D1392, Products!A:C, 3, FALSE)</f>
        <v>Sports</v>
      </c>
      <c r="M1392" t="str">
        <f>IFERROR(VLOOKUP(C1392, Customers!A:E, 5, FALSE), "Unknown")</f>
        <v>SMB</v>
      </c>
      <c r="N1392" t="str">
        <f>VLOOKUP(E1392, Sales_Reps!A:C, 3, FALSE)</f>
        <v>West</v>
      </c>
      <c r="O1392">
        <f>VLOOKUP(D1392, Products!A:D, 4, FALSE)</f>
        <v>974</v>
      </c>
      <c r="P1392">
        <f>IFERROR(VLOOKUP(C1392, Customers!A:C, 3, FALSE), 0)</f>
        <v>28</v>
      </c>
      <c r="Q1392">
        <f t="shared" si="21"/>
        <v>0.59416666666666662</v>
      </c>
    </row>
    <row r="1393" spans="1:17" x14ac:dyDescent="0.3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  <c r="L1393" t="str">
        <f>VLOOKUP(D1393, Products!A:C, 3, FALSE)</f>
        <v>Sports</v>
      </c>
      <c r="M1393" t="str">
        <f>IFERROR(VLOOKUP(C1393, Customers!A:E, 5, FALSE), "Unknown")</f>
        <v>Retail</v>
      </c>
      <c r="N1393" t="str">
        <f>VLOOKUP(E1393, Sales_Reps!A:C, 3, FALSE)</f>
        <v>North</v>
      </c>
      <c r="O1393">
        <f>VLOOKUP(D1393, Products!A:D, 4, FALSE)</f>
        <v>2028</v>
      </c>
      <c r="P1393">
        <f>IFERROR(VLOOKUP(C1393, Customers!A:C, 3, FALSE), 0)</f>
        <v>29</v>
      </c>
      <c r="Q1393">
        <f t="shared" si="21"/>
        <v>0.29090909090909089</v>
      </c>
    </row>
    <row r="1394" spans="1:17" x14ac:dyDescent="0.3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  <c r="L1394" t="str">
        <f>VLOOKUP(D1394, Products!A:C, 3, FALSE)</f>
        <v>Beauty</v>
      </c>
      <c r="M1394" t="str">
        <f>IFERROR(VLOOKUP(C1394, Customers!A:E, 5, FALSE), "Unknown")</f>
        <v>SMB</v>
      </c>
      <c r="N1394" t="str">
        <f>VLOOKUP(E1394, Sales_Reps!A:C, 3, FALSE)</f>
        <v>North</v>
      </c>
      <c r="O1394">
        <f>VLOOKUP(D1394, Products!A:D, 4, FALSE)</f>
        <v>1219</v>
      </c>
      <c r="P1394">
        <f>IFERROR(VLOOKUP(C1394, Customers!A:C, 3, FALSE), 0)</f>
        <v>46</v>
      </c>
      <c r="Q1394">
        <f t="shared" si="21"/>
        <v>0.46768558951965067</v>
      </c>
    </row>
    <row r="1395" spans="1:17" x14ac:dyDescent="0.3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  <c r="L1395" t="str">
        <f>VLOOKUP(D1395, Products!A:C, 3, FALSE)</f>
        <v>Electronics</v>
      </c>
      <c r="M1395" t="str">
        <f>IFERROR(VLOOKUP(C1395, Customers!A:E, 5, FALSE), "Unknown")</f>
        <v>Retail</v>
      </c>
      <c r="N1395" t="str">
        <f>VLOOKUP(E1395, Sales_Reps!A:C, 3, FALSE)</f>
        <v>East</v>
      </c>
      <c r="O1395">
        <f>VLOOKUP(D1395, Products!A:D, 4, FALSE)</f>
        <v>2405</v>
      </c>
      <c r="P1395">
        <f>IFERROR(VLOOKUP(C1395, Customers!A:C, 3, FALSE), 0)</f>
        <v>50</v>
      </c>
      <c r="Q1395">
        <f t="shared" si="21"/>
        <v>0.54878048780487809</v>
      </c>
    </row>
    <row r="1396" spans="1:17" x14ac:dyDescent="0.3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  <c r="L1396" t="str">
        <f>VLOOKUP(D1396, Products!A:C, 3, FALSE)</f>
        <v>Apparel</v>
      </c>
      <c r="M1396" t="str">
        <f>IFERROR(VLOOKUP(C1396, Customers!A:E, 5, FALSE), "Unknown")</f>
        <v>Retail</v>
      </c>
      <c r="N1396" t="str">
        <f>VLOOKUP(E1396, Sales_Reps!A:C, 3, FALSE)</f>
        <v>East</v>
      </c>
      <c r="O1396">
        <f>VLOOKUP(D1396, Products!A:D, 4, FALSE)</f>
        <v>2611</v>
      </c>
      <c r="P1396">
        <f>IFERROR(VLOOKUP(C1396, Customers!A:C, 3, FALSE), 0)</f>
        <v>41</v>
      </c>
      <c r="Q1396">
        <f t="shared" si="21"/>
        <v>0.28269230769230769</v>
      </c>
    </row>
    <row r="1397" spans="1:17" x14ac:dyDescent="0.3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  <c r="L1397" t="str">
        <f>VLOOKUP(D1397, Products!A:C, 3, FALSE)</f>
        <v>Home</v>
      </c>
      <c r="M1397" t="str">
        <f>IFERROR(VLOOKUP(C1397, Customers!A:E, 5, FALSE), "Unknown")</f>
        <v>SMB</v>
      </c>
      <c r="N1397" t="str">
        <f>VLOOKUP(E1397, Sales_Reps!A:C, 3, FALSE)</f>
        <v>West</v>
      </c>
      <c r="O1397">
        <f>VLOOKUP(D1397, Products!A:D, 4, FALSE)</f>
        <v>2459</v>
      </c>
      <c r="P1397">
        <f>IFERROR(VLOOKUP(C1397, Customers!A:C, 3, FALSE), 0)</f>
        <v>40</v>
      </c>
      <c r="Q1397">
        <f t="shared" si="21"/>
        <v>0.51594488188976373</v>
      </c>
    </row>
    <row r="1398" spans="1:17" x14ac:dyDescent="0.3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  <c r="L1398" t="str">
        <f>VLOOKUP(D1398, Products!A:C, 3, FALSE)</f>
        <v>Home</v>
      </c>
      <c r="M1398" t="str">
        <f>IFERROR(VLOOKUP(C1398, Customers!A:E, 5, FALSE), "Unknown")</f>
        <v>SMB</v>
      </c>
      <c r="N1398" t="str">
        <f>VLOOKUP(E1398, Sales_Reps!A:C, 3, FALSE)</f>
        <v>East</v>
      </c>
      <c r="O1398">
        <f>VLOOKUP(D1398, Products!A:D, 4, FALSE)</f>
        <v>464</v>
      </c>
      <c r="P1398">
        <f>IFERROR(VLOOKUP(C1398, Customers!A:C, 3, FALSE), 0)</f>
        <v>26</v>
      </c>
      <c r="Q1398">
        <f t="shared" si="21"/>
        <v>0.57431192660550456</v>
      </c>
    </row>
    <row r="1399" spans="1:17" x14ac:dyDescent="0.3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  <c r="L1399" t="str">
        <f>VLOOKUP(D1399, Products!A:C, 3, FALSE)</f>
        <v>Beauty</v>
      </c>
      <c r="M1399" t="str">
        <f>IFERROR(VLOOKUP(C1399, Customers!A:E, 5, FALSE), "Unknown")</f>
        <v>Corporate</v>
      </c>
      <c r="N1399" t="str">
        <f>VLOOKUP(E1399, Sales_Reps!A:C, 3, FALSE)</f>
        <v>West</v>
      </c>
      <c r="O1399">
        <f>VLOOKUP(D1399, Products!A:D, 4, FALSE)</f>
        <v>2420</v>
      </c>
      <c r="P1399">
        <f>IFERROR(VLOOKUP(C1399, Customers!A:C, 3, FALSE), 0)</f>
        <v>47</v>
      </c>
      <c r="Q1399">
        <f t="shared" si="21"/>
        <v>0.29855072463768118</v>
      </c>
    </row>
    <row r="1400" spans="1:17" x14ac:dyDescent="0.3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  <c r="L1400" t="str">
        <f>VLOOKUP(D1400, Products!A:C, 3, FALSE)</f>
        <v>Sports</v>
      </c>
      <c r="M1400" t="str">
        <f>IFERROR(VLOOKUP(C1400, Customers!A:E, 5, FALSE), "Unknown")</f>
        <v>Retail</v>
      </c>
      <c r="N1400" t="str">
        <f>VLOOKUP(E1400, Sales_Reps!A:C, 3, FALSE)</f>
        <v>South</v>
      </c>
      <c r="O1400">
        <f>VLOOKUP(D1400, Products!A:D, 4, FALSE)</f>
        <v>2265</v>
      </c>
      <c r="P1400">
        <f>IFERROR(VLOOKUP(C1400, Customers!A:C, 3, FALSE), 0)</f>
        <v>53</v>
      </c>
      <c r="Q1400">
        <f t="shared" si="21"/>
        <v>0.58133086876155271</v>
      </c>
    </row>
    <row r="1401" spans="1:17" x14ac:dyDescent="0.3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  <c r="L1401" t="str">
        <f>VLOOKUP(D1401, Products!A:C, 3, FALSE)</f>
        <v>Apparel</v>
      </c>
      <c r="M1401" t="str">
        <f>IFERROR(VLOOKUP(C1401, Customers!A:E, 5, FALSE), "Unknown")</f>
        <v>SMB</v>
      </c>
      <c r="N1401" t="str">
        <f>VLOOKUP(E1401, Sales_Reps!A:C, 3, FALSE)</f>
        <v>West</v>
      </c>
      <c r="O1401">
        <f>VLOOKUP(D1401, Products!A:D, 4, FALSE)</f>
        <v>1748</v>
      </c>
      <c r="P1401">
        <f>IFERROR(VLOOKUP(C1401, Customers!A:C, 3, FALSE), 0)</f>
        <v>34</v>
      </c>
      <c r="Q1401">
        <f t="shared" si="21"/>
        <v>0.49333333333333335</v>
      </c>
    </row>
    <row r="1402" spans="1:17" x14ac:dyDescent="0.3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  <c r="L1402" t="str">
        <f>VLOOKUP(D1402, Products!A:C, 3, FALSE)</f>
        <v>Apparel</v>
      </c>
      <c r="M1402" t="str">
        <f>IFERROR(VLOOKUP(C1402, Customers!A:E, 5, FALSE), "Unknown")</f>
        <v>Retail</v>
      </c>
      <c r="N1402" t="str">
        <f>VLOOKUP(E1402, Sales_Reps!A:C, 3, FALSE)</f>
        <v>West</v>
      </c>
      <c r="O1402">
        <f>VLOOKUP(D1402, Products!A:D, 4, FALSE)</f>
        <v>1886</v>
      </c>
      <c r="P1402">
        <f>IFERROR(VLOOKUP(C1402, Customers!A:C, 3, FALSE), 0)</f>
        <v>29</v>
      </c>
      <c r="Q1402">
        <f t="shared" si="21"/>
        <v>0.4031645569620253</v>
      </c>
    </row>
    <row r="1403" spans="1:17" x14ac:dyDescent="0.3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  <c r="L1403" t="str">
        <f>VLOOKUP(D1403, Products!A:C, 3, FALSE)</f>
        <v>Beauty</v>
      </c>
      <c r="M1403" t="str">
        <f>IFERROR(VLOOKUP(C1403, Customers!A:E, 5, FALSE), "Unknown")</f>
        <v>Corporate</v>
      </c>
      <c r="N1403" t="str">
        <f>VLOOKUP(E1403, Sales_Reps!A:C, 3, FALSE)</f>
        <v>West</v>
      </c>
      <c r="O1403">
        <f>VLOOKUP(D1403, Products!A:D, 4, FALSE)</f>
        <v>647</v>
      </c>
      <c r="P1403">
        <f>IFERROR(VLOOKUP(C1403, Customers!A:C, 3, FALSE), 0)</f>
        <v>57</v>
      </c>
      <c r="Q1403">
        <f t="shared" si="21"/>
        <v>0.57987012987012987</v>
      </c>
    </row>
    <row r="1404" spans="1:17" x14ac:dyDescent="0.3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  <c r="L1404" t="str">
        <f>VLOOKUP(D1404, Products!A:C, 3, FALSE)</f>
        <v>Apparel</v>
      </c>
      <c r="M1404" t="str">
        <f>IFERROR(VLOOKUP(C1404, Customers!A:E, 5, FALSE), "Unknown")</f>
        <v>SMB</v>
      </c>
      <c r="N1404" t="str">
        <f>VLOOKUP(E1404, Sales_Reps!A:C, 3, FALSE)</f>
        <v>East</v>
      </c>
      <c r="O1404">
        <f>VLOOKUP(D1404, Products!A:D, 4, FALSE)</f>
        <v>2611</v>
      </c>
      <c r="P1404">
        <f>IFERROR(VLOOKUP(C1404, Customers!A:C, 3, FALSE), 0)</f>
        <v>54</v>
      </c>
      <c r="Q1404">
        <f t="shared" si="21"/>
        <v>0.28269230769230769</v>
      </c>
    </row>
    <row r="1405" spans="1:17" x14ac:dyDescent="0.3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  <c r="L1405" t="str">
        <f>VLOOKUP(D1405, Products!A:C, 3, FALSE)</f>
        <v>Sports</v>
      </c>
      <c r="M1405" t="str">
        <f>IFERROR(VLOOKUP(C1405, Customers!A:E, 5, FALSE), "Unknown")</f>
        <v>Retail</v>
      </c>
      <c r="N1405" t="str">
        <f>VLOOKUP(E1405, Sales_Reps!A:C, 3, FALSE)</f>
        <v>North</v>
      </c>
      <c r="O1405">
        <f>VLOOKUP(D1405, Products!A:D, 4, FALSE)</f>
        <v>1860</v>
      </c>
      <c r="P1405">
        <f>IFERROR(VLOOKUP(C1405, Customers!A:C, 3, FALSE), 0)</f>
        <v>60</v>
      </c>
      <c r="Q1405">
        <f t="shared" si="21"/>
        <v>0.50793650793650791</v>
      </c>
    </row>
    <row r="1406" spans="1:17" x14ac:dyDescent="0.3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  <c r="L1406" t="str">
        <f>VLOOKUP(D1406, Products!A:C, 3, FALSE)</f>
        <v>Apparel</v>
      </c>
      <c r="M1406" t="str">
        <f>IFERROR(VLOOKUP(C1406, Customers!A:E, 5, FALSE), "Unknown")</f>
        <v>Retail</v>
      </c>
      <c r="N1406" t="str">
        <f>VLOOKUP(E1406, Sales_Reps!A:C, 3, FALSE)</f>
        <v>West</v>
      </c>
      <c r="O1406">
        <f>VLOOKUP(D1406, Products!A:D, 4, FALSE)</f>
        <v>1962</v>
      </c>
      <c r="P1406">
        <f>IFERROR(VLOOKUP(C1406, Customers!A:C, 3, FALSE), 0)</f>
        <v>59</v>
      </c>
      <c r="Q1406">
        <f t="shared" si="21"/>
        <v>0.2786764705882353</v>
      </c>
    </row>
    <row r="1407" spans="1:17" x14ac:dyDescent="0.3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  <c r="L1407" t="str">
        <f>VLOOKUP(D1407, Products!A:C, 3, FALSE)</f>
        <v>Apparel</v>
      </c>
      <c r="M1407" t="str">
        <f>IFERROR(VLOOKUP(C1407, Customers!A:E, 5, FALSE), "Unknown")</f>
        <v>Retail</v>
      </c>
      <c r="N1407" t="str">
        <f>VLOOKUP(E1407, Sales_Reps!A:C, 3, FALSE)</f>
        <v>North</v>
      </c>
      <c r="O1407">
        <f>VLOOKUP(D1407, Products!A:D, 4, FALSE)</f>
        <v>2509</v>
      </c>
      <c r="P1407">
        <f>IFERROR(VLOOKUP(C1407, Customers!A:C, 3, FALSE), 0)</f>
        <v>49</v>
      </c>
      <c r="Q1407">
        <f t="shared" si="21"/>
        <v>0.3069060773480663</v>
      </c>
    </row>
    <row r="1408" spans="1:17" x14ac:dyDescent="0.3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  <c r="L1408" t="str">
        <f>VLOOKUP(D1408, Products!A:C, 3, FALSE)</f>
        <v>Apparel</v>
      </c>
      <c r="M1408" t="str">
        <f>IFERROR(VLOOKUP(C1408, Customers!A:E, 5, FALSE), "Unknown")</f>
        <v>Retail</v>
      </c>
      <c r="N1408" t="str">
        <f>VLOOKUP(E1408, Sales_Reps!A:C, 3, FALSE)</f>
        <v>North</v>
      </c>
      <c r="O1408">
        <f>VLOOKUP(D1408, Products!A:D, 4, FALSE)</f>
        <v>1748</v>
      </c>
      <c r="P1408">
        <f>IFERROR(VLOOKUP(C1408, Customers!A:C, 3, FALSE), 0)</f>
        <v>61</v>
      </c>
      <c r="Q1408">
        <f t="shared" si="21"/>
        <v>0.49333333333333335</v>
      </c>
    </row>
    <row r="1409" spans="1:17" x14ac:dyDescent="0.3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  <c r="L1409" t="str">
        <f>VLOOKUP(D1409, Products!A:C, 3, FALSE)</f>
        <v>Apparel</v>
      </c>
      <c r="M1409" t="str">
        <f>IFERROR(VLOOKUP(C1409, Customers!A:E, 5, FALSE), "Unknown")</f>
        <v>SMB</v>
      </c>
      <c r="N1409" t="str">
        <f>VLOOKUP(E1409, Sales_Reps!A:C, 3, FALSE)</f>
        <v>South</v>
      </c>
      <c r="O1409">
        <f>VLOOKUP(D1409, Products!A:D, 4, FALSE)</f>
        <v>2611</v>
      </c>
      <c r="P1409">
        <f>IFERROR(VLOOKUP(C1409, Customers!A:C, 3, FALSE), 0)</f>
        <v>29</v>
      </c>
      <c r="Q1409">
        <f t="shared" si="21"/>
        <v>0.28269230769230769</v>
      </c>
    </row>
    <row r="1410" spans="1:17" x14ac:dyDescent="0.3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  <c r="L1410" t="str">
        <f>VLOOKUP(D1410, Products!A:C, 3, FALSE)</f>
        <v>Apparel</v>
      </c>
      <c r="M1410" t="str">
        <f>IFERROR(VLOOKUP(C1410, Customers!A:E, 5, FALSE), "Unknown")</f>
        <v>Retail</v>
      </c>
      <c r="N1410" t="str">
        <f>VLOOKUP(E1410, Sales_Reps!A:C, 3, FALSE)</f>
        <v>East</v>
      </c>
      <c r="O1410">
        <f>VLOOKUP(D1410, Products!A:D, 4, FALSE)</f>
        <v>396</v>
      </c>
      <c r="P1410">
        <f>IFERROR(VLOOKUP(C1410, Customers!A:C, 3, FALSE), 0)</f>
        <v>33</v>
      </c>
      <c r="Q1410">
        <f t="shared" si="21"/>
        <v>0.36129032258064514</v>
      </c>
    </row>
    <row r="1411" spans="1:17" x14ac:dyDescent="0.3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  <c r="L1411" t="str">
        <f>VLOOKUP(D1411, Products!A:C, 3, FALSE)</f>
        <v>Sports</v>
      </c>
      <c r="M1411" t="str">
        <f>IFERROR(VLOOKUP(C1411, Customers!A:E, 5, FALSE), "Unknown")</f>
        <v>Retail</v>
      </c>
      <c r="N1411" t="str">
        <f>VLOOKUP(E1411, Sales_Reps!A:C, 3, FALSE)</f>
        <v>South</v>
      </c>
      <c r="O1411">
        <f>VLOOKUP(D1411, Products!A:D, 4, FALSE)</f>
        <v>1860</v>
      </c>
      <c r="P1411">
        <f>IFERROR(VLOOKUP(C1411, Customers!A:C, 3, FALSE), 0)</f>
        <v>24</v>
      </c>
      <c r="Q1411">
        <f t="shared" ref="Q1411:Q1474" si="22">(G1411 - O1411) / G1411</f>
        <v>0.50793650793650791</v>
      </c>
    </row>
    <row r="1412" spans="1:17" x14ac:dyDescent="0.3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  <c r="L1412" t="str">
        <f>VLOOKUP(D1412, Products!A:C, 3, FALSE)</f>
        <v>Electronics</v>
      </c>
      <c r="M1412" t="str">
        <f>IFERROR(VLOOKUP(C1412, Customers!A:E, 5, FALSE), "Unknown")</f>
        <v>SMB</v>
      </c>
      <c r="N1412" t="str">
        <f>VLOOKUP(E1412, Sales_Reps!A:C, 3, FALSE)</f>
        <v>South</v>
      </c>
      <c r="O1412">
        <f>VLOOKUP(D1412, Products!A:D, 4, FALSE)</f>
        <v>1665</v>
      </c>
      <c r="P1412">
        <f>IFERROR(VLOOKUP(C1412, Customers!A:C, 3, FALSE), 0)</f>
        <v>55</v>
      </c>
      <c r="Q1412">
        <f t="shared" si="22"/>
        <v>0.53361344537815125</v>
      </c>
    </row>
    <row r="1413" spans="1:17" x14ac:dyDescent="0.3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  <c r="L1413" t="str">
        <f>VLOOKUP(D1413, Products!A:C, 3, FALSE)</f>
        <v>Beauty</v>
      </c>
      <c r="M1413" t="str">
        <f>IFERROR(VLOOKUP(C1413, Customers!A:E, 5, FALSE), "Unknown")</f>
        <v>Retail</v>
      </c>
      <c r="N1413" t="str">
        <f>VLOOKUP(E1413, Sales_Reps!A:C, 3, FALSE)</f>
        <v>North</v>
      </c>
      <c r="O1413">
        <f>VLOOKUP(D1413, Products!A:D, 4, FALSE)</f>
        <v>1222</v>
      </c>
      <c r="P1413">
        <f>IFERROR(VLOOKUP(C1413, Customers!A:C, 3, FALSE), 0)</f>
        <v>24</v>
      </c>
      <c r="Q1413">
        <f t="shared" si="22"/>
        <v>0.2593939393939394</v>
      </c>
    </row>
    <row r="1414" spans="1:17" x14ac:dyDescent="0.3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  <c r="L1414" t="str">
        <f>VLOOKUP(D1414, Products!A:C, 3, FALSE)</f>
        <v>Beauty</v>
      </c>
      <c r="M1414" t="str">
        <f>IFERROR(VLOOKUP(C1414, Customers!A:E, 5, FALSE), "Unknown")</f>
        <v>SMB</v>
      </c>
      <c r="N1414" t="str">
        <f>VLOOKUP(E1414, Sales_Reps!A:C, 3, FALSE)</f>
        <v>South</v>
      </c>
      <c r="O1414">
        <f>VLOOKUP(D1414, Products!A:D, 4, FALSE)</f>
        <v>675</v>
      </c>
      <c r="P1414">
        <f>IFERROR(VLOOKUP(C1414, Customers!A:C, 3, FALSE), 0)</f>
        <v>54</v>
      </c>
      <c r="Q1414">
        <f t="shared" si="22"/>
        <v>0.296875</v>
      </c>
    </row>
    <row r="1415" spans="1:17" x14ac:dyDescent="0.3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  <c r="L1415" t="str">
        <f>VLOOKUP(D1415, Products!A:C, 3, FALSE)</f>
        <v>Electronics</v>
      </c>
      <c r="M1415" t="str">
        <f>IFERROR(VLOOKUP(C1415, Customers!A:E, 5, FALSE), "Unknown")</f>
        <v>Corporate</v>
      </c>
      <c r="N1415" t="str">
        <f>VLOOKUP(E1415, Sales_Reps!A:C, 3, FALSE)</f>
        <v>North</v>
      </c>
      <c r="O1415">
        <f>VLOOKUP(D1415, Products!A:D, 4, FALSE)</f>
        <v>128</v>
      </c>
      <c r="P1415">
        <f>IFERROR(VLOOKUP(C1415, Customers!A:C, 3, FALSE), 0)</f>
        <v>62</v>
      </c>
      <c r="Q1415">
        <f t="shared" si="22"/>
        <v>0.57333333333333336</v>
      </c>
    </row>
    <row r="1416" spans="1:17" x14ac:dyDescent="0.3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  <c r="L1416" t="str">
        <f>VLOOKUP(D1416, Products!A:C, 3, FALSE)</f>
        <v>Grocery</v>
      </c>
      <c r="M1416" t="str">
        <f>IFERROR(VLOOKUP(C1416, Customers!A:E, 5, FALSE), "Unknown")</f>
        <v>Retail</v>
      </c>
      <c r="N1416" t="str">
        <f>VLOOKUP(E1416, Sales_Reps!A:C, 3, FALSE)</f>
        <v>West</v>
      </c>
      <c r="O1416">
        <f>VLOOKUP(D1416, Products!A:D, 4, FALSE)</f>
        <v>2911</v>
      </c>
      <c r="P1416">
        <f>IFERROR(VLOOKUP(C1416, Customers!A:C, 3, FALSE), 0)</f>
        <v>57</v>
      </c>
      <c r="Q1416">
        <f t="shared" si="22"/>
        <v>0.28300492610837441</v>
      </c>
    </row>
    <row r="1417" spans="1:17" x14ac:dyDescent="0.3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  <c r="L1417" t="str">
        <f>VLOOKUP(D1417, Products!A:C, 3, FALSE)</f>
        <v>Electronics</v>
      </c>
      <c r="M1417" t="str">
        <f>IFERROR(VLOOKUP(C1417, Customers!A:E, 5, FALSE), "Unknown")</f>
        <v>Retail</v>
      </c>
      <c r="N1417" t="str">
        <f>VLOOKUP(E1417, Sales_Reps!A:C, 3, FALSE)</f>
        <v>East</v>
      </c>
      <c r="O1417">
        <f>VLOOKUP(D1417, Products!A:D, 4, FALSE)</f>
        <v>2405</v>
      </c>
      <c r="P1417">
        <f>IFERROR(VLOOKUP(C1417, Customers!A:C, 3, FALSE), 0)</f>
        <v>36</v>
      </c>
      <c r="Q1417">
        <f t="shared" si="22"/>
        <v>0.54878048780487809</v>
      </c>
    </row>
    <row r="1418" spans="1:17" x14ac:dyDescent="0.3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  <c r="L1418" t="str">
        <f>VLOOKUP(D1418, Products!A:C, 3, FALSE)</f>
        <v>Home</v>
      </c>
      <c r="M1418" t="str">
        <f>IFERROR(VLOOKUP(C1418, Customers!A:E, 5, FALSE), "Unknown")</f>
        <v>Retail</v>
      </c>
      <c r="N1418" t="str">
        <f>VLOOKUP(E1418, Sales_Reps!A:C, 3, FALSE)</f>
        <v>East</v>
      </c>
      <c r="O1418">
        <f>VLOOKUP(D1418, Products!A:D, 4, FALSE)</f>
        <v>2135</v>
      </c>
      <c r="P1418">
        <f>IFERROR(VLOOKUP(C1418, Customers!A:C, 3, FALSE), 0)</f>
        <v>44</v>
      </c>
      <c r="Q1418">
        <f t="shared" si="22"/>
        <v>0.42761394101876676</v>
      </c>
    </row>
    <row r="1419" spans="1:17" x14ac:dyDescent="0.3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  <c r="L1419" t="str">
        <f>VLOOKUP(D1419, Products!A:C, 3, FALSE)</f>
        <v>Beauty</v>
      </c>
      <c r="M1419" t="str">
        <f>IFERROR(VLOOKUP(C1419, Customers!A:E, 5, FALSE), "Unknown")</f>
        <v>Retail</v>
      </c>
      <c r="N1419" t="str">
        <f>VLOOKUP(E1419, Sales_Reps!A:C, 3, FALSE)</f>
        <v>West</v>
      </c>
      <c r="O1419">
        <f>VLOOKUP(D1419, Products!A:D, 4, FALSE)</f>
        <v>2617</v>
      </c>
      <c r="P1419">
        <f>IFERROR(VLOOKUP(C1419, Customers!A:C, 3, FALSE), 0)</f>
        <v>60</v>
      </c>
      <c r="Q1419">
        <f t="shared" si="22"/>
        <v>0.56957236842105263</v>
      </c>
    </row>
    <row r="1420" spans="1:17" x14ac:dyDescent="0.3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  <c r="L1420" t="str">
        <f>VLOOKUP(D1420, Products!A:C, 3, FALSE)</f>
        <v>Apparel</v>
      </c>
      <c r="M1420" t="str">
        <f>IFERROR(VLOOKUP(C1420, Customers!A:E, 5, FALSE), "Unknown")</f>
        <v>Retail</v>
      </c>
      <c r="N1420" t="str">
        <f>VLOOKUP(E1420, Sales_Reps!A:C, 3, FALSE)</f>
        <v>West</v>
      </c>
      <c r="O1420">
        <f>VLOOKUP(D1420, Products!A:D, 4, FALSE)</f>
        <v>1962</v>
      </c>
      <c r="P1420">
        <f>IFERROR(VLOOKUP(C1420, Customers!A:C, 3, FALSE), 0)</f>
        <v>33</v>
      </c>
      <c r="Q1420">
        <f t="shared" si="22"/>
        <v>0.2786764705882353</v>
      </c>
    </row>
    <row r="1421" spans="1:17" x14ac:dyDescent="0.3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  <c r="L1421" t="str">
        <f>VLOOKUP(D1421, Products!A:C, 3, FALSE)</f>
        <v>Apparel</v>
      </c>
      <c r="M1421" t="str">
        <f>IFERROR(VLOOKUP(C1421, Customers!A:E, 5, FALSE), "Unknown")</f>
        <v>Retail</v>
      </c>
      <c r="N1421" t="str">
        <f>VLOOKUP(E1421, Sales_Reps!A:C, 3, FALSE)</f>
        <v>East</v>
      </c>
      <c r="O1421">
        <f>VLOOKUP(D1421, Products!A:D, 4, FALSE)</f>
        <v>1748</v>
      </c>
      <c r="P1421">
        <f>IFERROR(VLOOKUP(C1421, Customers!A:C, 3, FALSE), 0)</f>
        <v>61</v>
      </c>
      <c r="Q1421">
        <f t="shared" si="22"/>
        <v>0.49333333333333335</v>
      </c>
    </row>
    <row r="1422" spans="1:17" x14ac:dyDescent="0.3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  <c r="L1422" t="str">
        <f>VLOOKUP(D1422, Products!A:C, 3, FALSE)</f>
        <v>Home</v>
      </c>
      <c r="M1422" t="str">
        <f>IFERROR(VLOOKUP(C1422, Customers!A:E, 5, FALSE), "Unknown")</f>
        <v>Retail</v>
      </c>
      <c r="N1422" t="str">
        <f>VLOOKUP(E1422, Sales_Reps!A:C, 3, FALSE)</f>
        <v>East</v>
      </c>
      <c r="O1422">
        <f>VLOOKUP(D1422, Products!A:D, 4, FALSE)</f>
        <v>464</v>
      </c>
      <c r="P1422">
        <f>IFERROR(VLOOKUP(C1422, Customers!A:C, 3, FALSE), 0)</f>
        <v>53</v>
      </c>
      <c r="Q1422">
        <f t="shared" si="22"/>
        <v>0.57431192660550456</v>
      </c>
    </row>
    <row r="1423" spans="1:17" x14ac:dyDescent="0.3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  <c r="L1423" t="str">
        <f>VLOOKUP(D1423, Products!A:C, 3, FALSE)</f>
        <v>Electronics</v>
      </c>
      <c r="M1423" t="str">
        <f>IFERROR(VLOOKUP(C1423, Customers!A:E, 5, FALSE), "Unknown")</f>
        <v>Retail</v>
      </c>
      <c r="N1423" t="str">
        <f>VLOOKUP(E1423, Sales_Reps!A:C, 3, FALSE)</f>
        <v>East</v>
      </c>
      <c r="O1423">
        <f>VLOOKUP(D1423, Products!A:D, 4, FALSE)</f>
        <v>1665</v>
      </c>
      <c r="P1423">
        <f>IFERROR(VLOOKUP(C1423, Customers!A:C, 3, FALSE), 0)</f>
        <v>38</v>
      </c>
      <c r="Q1423">
        <f t="shared" si="22"/>
        <v>0.53361344537815125</v>
      </c>
    </row>
    <row r="1424" spans="1:17" x14ac:dyDescent="0.3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  <c r="L1424" t="str">
        <f>VLOOKUP(D1424, Products!A:C, 3, FALSE)</f>
        <v>Apparel</v>
      </c>
      <c r="M1424" t="str">
        <f>IFERROR(VLOOKUP(C1424, Customers!A:E, 5, FALSE), "Unknown")</f>
        <v>SMB</v>
      </c>
      <c r="N1424" t="str">
        <f>VLOOKUP(E1424, Sales_Reps!A:C, 3, FALSE)</f>
        <v>South</v>
      </c>
      <c r="O1424">
        <f>VLOOKUP(D1424, Products!A:D, 4, FALSE)</f>
        <v>1173</v>
      </c>
      <c r="P1424">
        <f>IFERROR(VLOOKUP(C1424, Customers!A:C, 3, FALSE), 0)</f>
        <v>55</v>
      </c>
      <c r="Q1424">
        <f t="shared" si="22"/>
        <v>0.52701612903225803</v>
      </c>
    </row>
    <row r="1425" spans="1:17" x14ac:dyDescent="0.3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  <c r="L1425" t="str">
        <f>VLOOKUP(D1425, Products!A:C, 3, FALSE)</f>
        <v>Grocery</v>
      </c>
      <c r="M1425" t="str">
        <f>IFERROR(VLOOKUP(C1425, Customers!A:E, 5, FALSE), "Unknown")</f>
        <v>Retail</v>
      </c>
      <c r="N1425" t="str">
        <f>VLOOKUP(E1425, Sales_Reps!A:C, 3, FALSE)</f>
        <v>East</v>
      </c>
      <c r="O1425">
        <f>VLOOKUP(D1425, Products!A:D, 4, FALSE)</f>
        <v>2436</v>
      </c>
      <c r="P1425">
        <f>IFERROR(VLOOKUP(C1425, Customers!A:C, 3, FALSE), 0)</f>
        <v>25</v>
      </c>
      <c r="Q1425">
        <f t="shared" si="22"/>
        <v>0.35555555555555557</v>
      </c>
    </row>
    <row r="1426" spans="1:17" x14ac:dyDescent="0.3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  <c r="L1426" t="str">
        <f>VLOOKUP(D1426, Products!A:C, 3, FALSE)</f>
        <v>Grocery</v>
      </c>
      <c r="M1426" t="str">
        <f>IFERROR(VLOOKUP(C1426, Customers!A:E, 5, FALSE), "Unknown")</f>
        <v>SMB</v>
      </c>
      <c r="N1426" t="str">
        <f>VLOOKUP(E1426, Sales_Reps!A:C, 3, FALSE)</f>
        <v>South</v>
      </c>
      <c r="O1426">
        <f>VLOOKUP(D1426, Products!A:D, 4, FALSE)</f>
        <v>2911</v>
      </c>
      <c r="P1426">
        <f>IFERROR(VLOOKUP(C1426, Customers!A:C, 3, FALSE), 0)</f>
        <v>28</v>
      </c>
      <c r="Q1426">
        <f t="shared" si="22"/>
        <v>0.28300492610837441</v>
      </c>
    </row>
    <row r="1427" spans="1:17" x14ac:dyDescent="0.3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  <c r="L1427" t="str">
        <f>VLOOKUP(D1427, Products!A:C, 3, FALSE)</f>
        <v>Electronics</v>
      </c>
      <c r="M1427" t="str">
        <f>IFERROR(VLOOKUP(C1427, Customers!A:E, 5, FALSE), "Unknown")</f>
        <v>Corporate</v>
      </c>
      <c r="N1427" t="str">
        <f>VLOOKUP(E1427, Sales_Reps!A:C, 3, FALSE)</f>
        <v>North</v>
      </c>
      <c r="O1427">
        <f>VLOOKUP(D1427, Products!A:D, 4, FALSE)</f>
        <v>128</v>
      </c>
      <c r="P1427">
        <f>IFERROR(VLOOKUP(C1427, Customers!A:C, 3, FALSE), 0)</f>
        <v>40</v>
      </c>
      <c r="Q1427">
        <f t="shared" si="22"/>
        <v>0.57333333333333336</v>
      </c>
    </row>
    <row r="1428" spans="1:17" x14ac:dyDescent="0.3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  <c r="L1428" t="str">
        <f>VLOOKUP(D1428, Products!A:C, 3, FALSE)</f>
        <v>Home</v>
      </c>
      <c r="M1428" t="str">
        <f>IFERROR(VLOOKUP(C1428, Customers!A:E, 5, FALSE), "Unknown")</f>
        <v>SMB</v>
      </c>
      <c r="N1428" t="str">
        <f>VLOOKUP(E1428, Sales_Reps!A:C, 3, FALSE)</f>
        <v>North</v>
      </c>
      <c r="O1428">
        <f>VLOOKUP(D1428, Products!A:D, 4, FALSE)</f>
        <v>1556</v>
      </c>
      <c r="P1428">
        <f>IFERROR(VLOOKUP(C1428, Customers!A:C, 3, FALSE), 0)</f>
        <v>22</v>
      </c>
      <c r="Q1428">
        <f t="shared" si="22"/>
        <v>0.52123076923076928</v>
      </c>
    </row>
    <row r="1429" spans="1:17" x14ac:dyDescent="0.3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  <c r="L1429" t="str">
        <f>VLOOKUP(D1429, Products!A:C, 3, FALSE)</f>
        <v>Sports</v>
      </c>
      <c r="M1429" t="str">
        <f>IFERROR(VLOOKUP(C1429, Customers!A:E, 5, FALSE), "Unknown")</f>
        <v>Retail</v>
      </c>
      <c r="N1429" t="str">
        <f>VLOOKUP(E1429, Sales_Reps!A:C, 3, FALSE)</f>
        <v>South</v>
      </c>
      <c r="O1429">
        <f>VLOOKUP(D1429, Products!A:D, 4, FALSE)</f>
        <v>2028</v>
      </c>
      <c r="P1429">
        <f>IFERROR(VLOOKUP(C1429, Customers!A:C, 3, FALSE), 0)</f>
        <v>36</v>
      </c>
      <c r="Q1429">
        <f t="shared" si="22"/>
        <v>0.29090909090909089</v>
      </c>
    </row>
    <row r="1430" spans="1:17" x14ac:dyDescent="0.3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  <c r="L1430" t="str">
        <f>VLOOKUP(D1430, Products!A:C, 3, FALSE)</f>
        <v>Electronics</v>
      </c>
      <c r="M1430" t="str">
        <f>IFERROR(VLOOKUP(C1430, Customers!A:E, 5, FALSE), "Unknown")</f>
        <v>Retail</v>
      </c>
      <c r="N1430" t="str">
        <f>VLOOKUP(E1430, Sales_Reps!A:C, 3, FALSE)</f>
        <v>East</v>
      </c>
      <c r="O1430">
        <f>VLOOKUP(D1430, Products!A:D, 4, FALSE)</f>
        <v>517</v>
      </c>
      <c r="P1430">
        <f>IFERROR(VLOOKUP(C1430, Customers!A:C, 3, FALSE), 0)</f>
        <v>24</v>
      </c>
      <c r="Q1430">
        <f t="shared" si="22"/>
        <v>0.57622950819672136</v>
      </c>
    </row>
    <row r="1431" spans="1:17" x14ac:dyDescent="0.3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  <c r="L1431" t="str">
        <f>VLOOKUP(D1431, Products!A:C, 3, FALSE)</f>
        <v>Grocery</v>
      </c>
      <c r="M1431" t="str">
        <f>IFERROR(VLOOKUP(C1431, Customers!A:E, 5, FALSE), "Unknown")</f>
        <v>Retail</v>
      </c>
      <c r="N1431" t="str">
        <f>VLOOKUP(E1431, Sales_Reps!A:C, 3, FALSE)</f>
        <v>South</v>
      </c>
      <c r="O1431">
        <f>VLOOKUP(D1431, Products!A:D, 4, FALSE)</f>
        <v>2436</v>
      </c>
      <c r="P1431">
        <f>IFERROR(VLOOKUP(C1431, Customers!A:C, 3, FALSE), 0)</f>
        <v>27</v>
      </c>
      <c r="Q1431">
        <f t="shared" si="22"/>
        <v>0.35555555555555557</v>
      </c>
    </row>
    <row r="1432" spans="1:17" x14ac:dyDescent="0.3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  <c r="L1432" t="str">
        <f>VLOOKUP(D1432, Products!A:C, 3, FALSE)</f>
        <v>Home</v>
      </c>
      <c r="M1432" t="str">
        <f>IFERROR(VLOOKUP(C1432, Customers!A:E, 5, FALSE), "Unknown")</f>
        <v>Retail</v>
      </c>
      <c r="N1432" t="str">
        <f>VLOOKUP(E1432, Sales_Reps!A:C, 3, FALSE)</f>
        <v>East</v>
      </c>
      <c r="O1432">
        <f>VLOOKUP(D1432, Products!A:D, 4, FALSE)</f>
        <v>2549</v>
      </c>
      <c r="P1432">
        <f>IFERROR(VLOOKUP(C1432, Customers!A:C, 3, FALSE), 0)</f>
        <v>47</v>
      </c>
      <c r="Q1432">
        <f t="shared" si="22"/>
        <v>0.53570127504553733</v>
      </c>
    </row>
    <row r="1433" spans="1:17" x14ac:dyDescent="0.3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  <c r="L1433" t="str">
        <f>VLOOKUP(D1433, Products!A:C, 3, FALSE)</f>
        <v>Grocery</v>
      </c>
      <c r="M1433" t="str">
        <f>IFERROR(VLOOKUP(C1433, Customers!A:E, 5, FALSE), "Unknown")</f>
        <v>Corporate</v>
      </c>
      <c r="N1433" t="str">
        <f>VLOOKUP(E1433, Sales_Reps!A:C, 3, FALSE)</f>
        <v>West</v>
      </c>
      <c r="O1433">
        <f>VLOOKUP(D1433, Products!A:D, 4, FALSE)</f>
        <v>1412</v>
      </c>
      <c r="P1433">
        <f>IFERROR(VLOOKUP(C1433, Customers!A:C, 3, FALSE), 0)</f>
        <v>54</v>
      </c>
      <c r="Q1433">
        <f t="shared" si="22"/>
        <v>0.37797356828193834</v>
      </c>
    </row>
    <row r="1434" spans="1:17" x14ac:dyDescent="0.3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  <c r="L1434" t="str">
        <f>VLOOKUP(D1434, Products!A:C, 3, FALSE)</f>
        <v>Grocery</v>
      </c>
      <c r="M1434" t="str">
        <f>IFERROR(VLOOKUP(C1434, Customers!A:E, 5, FALSE), "Unknown")</f>
        <v>Corporate</v>
      </c>
      <c r="N1434" t="str">
        <f>VLOOKUP(E1434, Sales_Reps!A:C, 3, FALSE)</f>
        <v>East</v>
      </c>
      <c r="O1434">
        <f>VLOOKUP(D1434, Products!A:D, 4, FALSE)</f>
        <v>1010</v>
      </c>
      <c r="P1434">
        <f>IFERROR(VLOOKUP(C1434, Customers!A:C, 3, FALSE), 0)</f>
        <v>24</v>
      </c>
      <c r="Q1434">
        <f t="shared" si="22"/>
        <v>0.54298642533936647</v>
      </c>
    </row>
    <row r="1435" spans="1:17" x14ac:dyDescent="0.3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  <c r="L1435" t="str">
        <f>VLOOKUP(D1435, Products!A:C, 3, FALSE)</f>
        <v>Home</v>
      </c>
      <c r="M1435" t="str">
        <f>IFERROR(VLOOKUP(C1435, Customers!A:E, 5, FALSE), "Unknown")</f>
        <v>Unknown</v>
      </c>
      <c r="N1435" t="str">
        <f>VLOOKUP(E1435, Sales_Reps!A:C, 3, FALSE)</f>
        <v>South</v>
      </c>
      <c r="O1435">
        <f>VLOOKUP(D1435, Products!A:D, 4, FALSE)</f>
        <v>464</v>
      </c>
      <c r="P1435">
        <f>IFERROR(VLOOKUP(C1435, Customers!A:C, 3, FALSE), 0)</f>
        <v>0</v>
      </c>
      <c r="Q1435">
        <f t="shared" si="22"/>
        <v>0.57431192660550456</v>
      </c>
    </row>
    <row r="1436" spans="1:17" x14ac:dyDescent="0.3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  <c r="L1436" t="str">
        <f>VLOOKUP(D1436, Products!A:C, 3, FALSE)</f>
        <v>Apparel</v>
      </c>
      <c r="M1436" t="str">
        <f>IFERROR(VLOOKUP(C1436, Customers!A:E, 5, FALSE), "Unknown")</f>
        <v>Corporate</v>
      </c>
      <c r="N1436" t="str">
        <f>VLOOKUP(E1436, Sales_Reps!A:C, 3, FALSE)</f>
        <v>North</v>
      </c>
      <c r="O1436">
        <f>VLOOKUP(D1436, Products!A:D, 4, FALSE)</f>
        <v>2629</v>
      </c>
      <c r="P1436">
        <f>IFERROR(VLOOKUP(C1436, Customers!A:C, 3, FALSE), 0)</f>
        <v>41</v>
      </c>
      <c r="Q1436">
        <f t="shared" si="22"/>
        <v>0.26151685393258428</v>
      </c>
    </row>
    <row r="1437" spans="1:17" x14ac:dyDescent="0.3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  <c r="L1437" t="str">
        <f>VLOOKUP(D1437, Products!A:C, 3, FALSE)</f>
        <v>Sports</v>
      </c>
      <c r="M1437" t="str">
        <f>IFERROR(VLOOKUP(C1437, Customers!A:E, 5, FALSE), "Unknown")</f>
        <v>Retail</v>
      </c>
      <c r="N1437" t="str">
        <f>VLOOKUP(E1437, Sales_Reps!A:C, 3, FALSE)</f>
        <v>West</v>
      </c>
      <c r="O1437">
        <f>VLOOKUP(D1437, Products!A:D, 4, FALSE)</f>
        <v>516</v>
      </c>
      <c r="P1437">
        <f>IFERROR(VLOOKUP(C1437, Customers!A:C, 3, FALSE), 0)</f>
        <v>39</v>
      </c>
      <c r="Q1437">
        <f t="shared" si="22"/>
        <v>0.4891089108910891</v>
      </c>
    </row>
    <row r="1438" spans="1:17" x14ac:dyDescent="0.3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  <c r="L1438" t="str">
        <f>VLOOKUP(D1438, Products!A:C, 3, FALSE)</f>
        <v>Home</v>
      </c>
      <c r="M1438" t="str">
        <f>IFERROR(VLOOKUP(C1438, Customers!A:E, 5, FALSE), "Unknown")</f>
        <v>Corporate</v>
      </c>
      <c r="N1438" t="str">
        <f>VLOOKUP(E1438, Sales_Reps!A:C, 3, FALSE)</f>
        <v>South</v>
      </c>
      <c r="O1438">
        <f>VLOOKUP(D1438, Products!A:D, 4, FALSE)</f>
        <v>1143</v>
      </c>
      <c r="P1438">
        <f>IFERROR(VLOOKUP(C1438, Customers!A:C, 3, FALSE), 0)</f>
        <v>51</v>
      </c>
      <c r="Q1438">
        <f t="shared" si="22"/>
        <v>0.43694581280788175</v>
      </c>
    </row>
    <row r="1439" spans="1:17" x14ac:dyDescent="0.3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  <c r="L1439" t="str">
        <f>VLOOKUP(D1439, Products!A:C, 3, FALSE)</f>
        <v>Electronics</v>
      </c>
      <c r="M1439" t="str">
        <f>IFERROR(VLOOKUP(C1439, Customers!A:E, 5, FALSE), "Unknown")</f>
        <v>Retail</v>
      </c>
      <c r="N1439" t="str">
        <f>VLOOKUP(E1439, Sales_Reps!A:C, 3, FALSE)</f>
        <v>South</v>
      </c>
      <c r="O1439">
        <f>VLOOKUP(D1439, Products!A:D, 4, FALSE)</f>
        <v>2405</v>
      </c>
      <c r="P1439">
        <f>IFERROR(VLOOKUP(C1439, Customers!A:C, 3, FALSE), 0)</f>
        <v>41</v>
      </c>
      <c r="Q1439">
        <f t="shared" si="22"/>
        <v>0.54878048780487809</v>
      </c>
    </row>
    <row r="1440" spans="1:17" x14ac:dyDescent="0.3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  <c r="L1440" t="str">
        <f>VLOOKUP(D1440, Products!A:C, 3, FALSE)</f>
        <v>Electronics</v>
      </c>
      <c r="M1440" t="str">
        <f>IFERROR(VLOOKUP(C1440, Customers!A:E, 5, FALSE), "Unknown")</f>
        <v>Retail</v>
      </c>
      <c r="N1440" t="str">
        <f>VLOOKUP(E1440, Sales_Reps!A:C, 3, FALSE)</f>
        <v>North</v>
      </c>
      <c r="O1440">
        <f>VLOOKUP(D1440, Products!A:D, 4, FALSE)</f>
        <v>1149</v>
      </c>
      <c r="P1440">
        <f>IFERROR(VLOOKUP(C1440, Customers!A:C, 3, FALSE), 0)</f>
        <v>42</v>
      </c>
      <c r="Q1440">
        <f t="shared" si="22"/>
        <v>0.56477272727272732</v>
      </c>
    </row>
    <row r="1441" spans="1:17" x14ac:dyDescent="0.3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  <c r="L1441" t="str">
        <f>VLOOKUP(D1441, Products!A:C, 3, FALSE)</f>
        <v>Electronics</v>
      </c>
      <c r="M1441" t="str">
        <f>IFERROR(VLOOKUP(C1441, Customers!A:E, 5, FALSE), "Unknown")</f>
        <v>SMB</v>
      </c>
      <c r="N1441" t="str">
        <f>VLOOKUP(E1441, Sales_Reps!A:C, 3, FALSE)</f>
        <v>South</v>
      </c>
      <c r="O1441">
        <f>VLOOKUP(D1441, Products!A:D, 4, FALSE)</f>
        <v>1259</v>
      </c>
      <c r="P1441">
        <f>IFERROR(VLOOKUP(C1441, Customers!A:C, 3, FALSE), 0)</f>
        <v>22</v>
      </c>
      <c r="Q1441">
        <f t="shared" si="22"/>
        <v>0.52669172932330832</v>
      </c>
    </row>
    <row r="1442" spans="1:17" x14ac:dyDescent="0.3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  <c r="L1442" t="str">
        <f>VLOOKUP(D1442, Products!A:C, 3, FALSE)</f>
        <v>Home</v>
      </c>
      <c r="M1442" t="str">
        <f>IFERROR(VLOOKUP(C1442, Customers!A:E, 5, FALSE), "Unknown")</f>
        <v>SMB</v>
      </c>
      <c r="N1442" t="str">
        <f>VLOOKUP(E1442, Sales_Reps!A:C, 3, FALSE)</f>
        <v>East</v>
      </c>
      <c r="O1442">
        <f>VLOOKUP(D1442, Products!A:D, 4, FALSE)</f>
        <v>1556</v>
      </c>
      <c r="P1442">
        <f>IFERROR(VLOOKUP(C1442, Customers!A:C, 3, FALSE), 0)</f>
        <v>53</v>
      </c>
      <c r="Q1442">
        <f t="shared" si="22"/>
        <v>0.52123076923076928</v>
      </c>
    </row>
    <row r="1443" spans="1:17" x14ac:dyDescent="0.3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  <c r="L1443" t="str">
        <f>VLOOKUP(D1443, Products!A:C, 3, FALSE)</f>
        <v>Grocery</v>
      </c>
      <c r="M1443" t="str">
        <f>IFERROR(VLOOKUP(C1443, Customers!A:E, 5, FALSE), "Unknown")</f>
        <v>Retail</v>
      </c>
      <c r="N1443" t="str">
        <f>VLOOKUP(E1443, Sales_Reps!A:C, 3, FALSE)</f>
        <v>North</v>
      </c>
      <c r="O1443">
        <f>VLOOKUP(D1443, Products!A:D, 4, FALSE)</f>
        <v>1010</v>
      </c>
      <c r="P1443">
        <f>IFERROR(VLOOKUP(C1443, Customers!A:C, 3, FALSE), 0)</f>
        <v>25</v>
      </c>
      <c r="Q1443">
        <f t="shared" si="22"/>
        <v>0.54298642533936647</v>
      </c>
    </row>
    <row r="1444" spans="1:17" x14ac:dyDescent="0.3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  <c r="L1444" t="str">
        <f>VLOOKUP(D1444, Products!A:C, 3, FALSE)</f>
        <v>Home</v>
      </c>
      <c r="M1444" t="str">
        <f>IFERROR(VLOOKUP(C1444, Customers!A:E, 5, FALSE), "Unknown")</f>
        <v>Retail</v>
      </c>
      <c r="N1444" t="str">
        <f>VLOOKUP(E1444, Sales_Reps!A:C, 3, FALSE)</f>
        <v>East</v>
      </c>
      <c r="O1444">
        <f>VLOOKUP(D1444, Products!A:D, 4, FALSE)</f>
        <v>288</v>
      </c>
      <c r="P1444">
        <f>IFERROR(VLOOKUP(C1444, Customers!A:C, 3, FALSE), 0)</f>
        <v>57</v>
      </c>
      <c r="Q1444">
        <f t="shared" si="22"/>
        <v>0.22162162162162163</v>
      </c>
    </row>
    <row r="1445" spans="1:17" x14ac:dyDescent="0.3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  <c r="L1445" t="str">
        <f>VLOOKUP(D1445, Products!A:C, 3, FALSE)</f>
        <v>Sports</v>
      </c>
      <c r="M1445" t="str">
        <f>IFERROR(VLOOKUP(C1445, Customers!A:E, 5, FALSE), "Unknown")</f>
        <v>Retail</v>
      </c>
      <c r="N1445" t="str">
        <f>VLOOKUP(E1445, Sales_Reps!A:C, 3, FALSE)</f>
        <v>East</v>
      </c>
      <c r="O1445">
        <f>VLOOKUP(D1445, Products!A:D, 4, FALSE)</f>
        <v>1860</v>
      </c>
      <c r="P1445">
        <f>IFERROR(VLOOKUP(C1445, Customers!A:C, 3, FALSE), 0)</f>
        <v>24</v>
      </c>
      <c r="Q1445">
        <f t="shared" si="22"/>
        <v>0.50793650793650791</v>
      </c>
    </row>
    <row r="1446" spans="1:17" x14ac:dyDescent="0.3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  <c r="L1446" t="str">
        <f>VLOOKUP(D1446, Products!A:C, 3, FALSE)</f>
        <v>Sports</v>
      </c>
      <c r="M1446" t="str">
        <f>IFERROR(VLOOKUP(C1446, Customers!A:E, 5, FALSE), "Unknown")</f>
        <v>Retail</v>
      </c>
      <c r="N1446" t="str">
        <f>VLOOKUP(E1446, Sales_Reps!A:C, 3, FALSE)</f>
        <v>North</v>
      </c>
      <c r="O1446">
        <f>VLOOKUP(D1446, Products!A:D, 4, FALSE)</f>
        <v>516</v>
      </c>
      <c r="P1446">
        <f>IFERROR(VLOOKUP(C1446, Customers!A:C, 3, FALSE), 0)</f>
        <v>22</v>
      </c>
      <c r="Q1446">
        <f t="shared" si="22"/>
        <v>0.4891089108910891</v>
      </c>
    </row>
    <row r="1447" spans="1:17" x14ac:dyDescent="0.3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  <c r="L1447" t="str">
        <f>VLOOKUP(D1447, Products!A:C, 3, FALSE)</f>
        <v>Apparel</v>
      </c>
      <c r="M1447" t="str">
        <f>IFERROR(VLOOKUP(C1447, Customers!A:E, 5, FALSE), "Unknown")</f>
        <v>Retail</v>
      </c>
      <c r="N1447" t="str">
        <f>VLOOKUP(E1447, Sales_Reps!A:C, 3, FALSE)</f>
        <v>South</v>
      </c>
      <c r="O1447">
        <f>VLOOKUP(D1447, Products!A:D, 4, FALSE)</f>
        <v>391</v>
      </c>
      <c r="P1447">
        <f>IFERROR(VLOOKUP(C1447, Customers!A:C, 3, FALSE), 0)</f>
        <v>61</v>
      </c>
      <c r="Q1447">
        <f t="shared" si="22"/>
        <v>0.52317073170731709</v>
      </c>
    </row>
    <row r="1448" spans="1:17" x14ac:dyDescent="0.3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  <c r="L1448" t="str">
        <f>VLOOKUP(D1448, Products!A:C, 3, FALSE)</f>
        <v>Grocery</v>
      </c>
      <c r="M1448" t="str">
        <f>IFERROR(VLOOKUP(C1448, Customers!A:E, 5, FALSE), "Unknown")</f>
        <v>SMB</v>
      </c>
      <c r="N1448" t="str">
        <f>VLOOKUP(E1448, Sales_Reps!A:C, 3, FALSE)</f>
        <v>South</v>
      </c>
      <c r="O1448">
        <f>VLOOKUP(D1448, Products!A:D, 4, FALSE)</f>
        <v>2214</v>
      </c>
      <c r="P1448">
        <f>IFERROR(VLOOKUP(C1448, Customers!A:C, 3, FALSE), 0)</f>
        <v>29</v>
      </c>
      <c r="Q1448">
        <f t="shared" si="22"/>
        <v>0.39508196721311473</v>
      </c>
    </row>
    <row r="1449" spans="1:17" x14ac:dyDescent="0.3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  <c r="L1449" t="str">
        <f>VLOOKUP(D1449, Products!A:C, 3, FALSE)</f>
        <v>Grocery</v>
      </c>
      <c r="M1449" t="str">
        <f>IFERROR(VLOOKUP(C1449, Customers!A:E, 5, FALSE), "Unknown")</f>
        <v>Retail</v>
      </c>
      <c r="N1449" t="str">
        <f>VLOOKUP(E1449, Sales_Reps!A:C, 3, FALSE)</f>
        <v>East</v>
      </c>
      <c r="O1449">
        <f>VLOOKUP(D1449, Products!A:D, 4, FALSE)</f>
        <v>1412</v>
      </c>
      <c r="P1449">
        <f>IFERROR(VLOOKUP(C1449, Customers!A:C, 3, FALSE), 0)</f>
        <v>37</v>
      </c>
      <c r="Q1449">
        <f t="shared" si="22"/>
        <v>0.37797356828193834</v>
      </c>
    </row>
    <row r="1450" spans="1:17" x14ac:dyDescent="0.3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  <c r="L1450" t="str">
        <f>VLOOKUP(D1450, Products!A:C, 3, FALSE)</f>
        <v>Beauty</v>
      </c>
      <c r="M1450" t="str">
        <f>IFERROR(VLOOKUP(C1450, Customers!A:E, 5, FALSE), "Unknown")</f>
        <v>Retail</v>
      </c>
      <c r="N1450" t="str">
        <f>VLOOKUP(E1450, Sales_Reps!A:C, 3, FALSE)</f>
        <v>East</v>
      </c>
      <c r="O1450">
        <f>VLOOKUP(D1450, Products!A:D, 4, FALSE)</f>
        <v>675</v>
      </c>
      <c r="P1450">
        <f>IFERROR(VLOOKUP(C1450, Customers!A:C, 3, FALSE), 0)</f>
        <v>41</v>
      </c>
      <c r="Q1450">
        <f t="shared" si="22"/>
        <v>0.296875</v>
      </c>
    </row>
    <row r="1451" spans="1:17" x14ac:dyDescent="0.3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  <c r="L1451" t="str">
        <f>VLOOKUP(D1451, Products!A:C, 3, FALSE)</f>
        <v>Home</v>
      </c>
      <c r="M1451" t="str">
        <f>IFERROR(VLOOKUP(C1451, Customers!A:E, 5, FALSE), "Unknown")</f>
        <v>SMB</v>
      </c>
      <c r="N1451" t="str">
        <f>VLOOKUP(E1451, Sales_Reps!A:C, 3, FALSE)</f>
        <v>West</v>
      </c>
      <c r="O1451">
        <f>VLOOKUP(D1451, Products!A:D, 4, FALSE)</f>
        <v>1143</v>
      </c>
      <c r="P1451">
        <f>IFERROR(VLOOKUP(C1451, Customers!A:C, 3, FALSE), 0)</f>
        <v>53</v>
      </c>
      <c r="Q1451">
        <f t="shared" si="22"/>
        <v>0.43694581280788175</v>
      </c>
    </row>
    <row r="1452" spans="1:17" x14ac:dyDescent="0.3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  <c r="L1452" t="str">
        <f>VLOOKUP(D1452, Products!A:C, 3, FALSE)</f>
        <v>Grocery</v>
      </c>
      <c r="M1452" t="str">
        <f>IFERROR(VLOOKUP(C1452, Customers!A:E, 5, FALSE), "Unknown")</f>
        <v>SMB</v>
      </c>
      <c r="N1452" t="str">
        <f>VLOOKUP(E1452, Sales_Reps!A:C, 3, FALSE)</f>
        <v>North</v>
      </c>
      <c r="O1452">
        <f>VLOOKUP(D1452, Products!A:D, 4, FALSE)</f>
        <v>1182</v>
      </c>
      <c r="P1452">
        <f>IFERROR(VLOOKUP(C1452, Customers!A:C, 3, FALSE), 0)</f>
        <v>49</v>
      </c>
      <c r="Q1452">
        <f t="shared" si="22"/>
        <v>0.50336134453781511</v>
      </c>
    </row>
    <row r="1453" spans="1:17" x14ac:dyDescent="0.3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  <c r="L1453" t="str">
        <f>VLOOKUP(D1453, Products!A:C, 3, FALSE)</f>
        <v>Beauty</v>
      </c>
      <c r="M1453" t="str">
        <f>IFERROR(VLOOKUP(C1453, Customers!A:E, 5, FALSE), "Unknown")</f>
        <v>SMB</v>
      </c>
      <c r="N1453" t="str">
        <f>VLOOKUP(E1453, Sales_Reps!A:C, 3, FALSE)</f>
        <v>South</v>
      </c>
      <c r="O1453">
        <f>VLOOKUP(D1453, Products!A:D, 4, FALSE)</f>
        <v>2420</v>
      </c>
      <c r="P1453">
        <f>IFERROR(VLOOKUP(C1453, Customers!A:C, 3, FALSE), 0)</f>
        <v>51</v>
      </c>
      <c r="Q1453">
        <f t="shared" si="22"/>
        <v>0.29855072463768118</v>
      </c>
    </row>
    <row r="1454" spans="1:17" x14ac:dyDescent="0.3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  <c r="L1454" t="str">
        <f>VLOOKUP(D1454, Products!A:C, 3, FALSE)</f>
        <v>Beauty</v>
      </c>
      <c r="M1454" t="str">
        <f>IFERROR(VLOOKUP(C1454, Customers!A:E, 5, FALSE), "Unknown")</f>
        <v>Retail</v>
      </c>
      <c r="N1454" t="str">
        <f>VLOOKUP(E1454, Sales_Reps!A:C, 3, FALSE)</f>
        <v>East</v>
      </c>
      <c r="O1454">
        <f>VLOOKUP(D1454, Products!A:D, 4, FALSE)</f>
        <v>675</v>
      </c>
      <c r="P1454">
        <f>IFERROR(VLOOKUP(C1454, Customers!A:C, 3, FALSE), 0)</f>
        <v>53</v>
      </c>
      <c r="Q1454">
        <f t="shared" si="22"/>
        <v>0.296875</v>
      </c>
    </row>
    <row r="1455" spans="1:17" x14ac:dyDescent="0.3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  <c r="L1455" t="str">
        <f>VLOOKUP(D1455, Products!A:C, 3, FALSE)</f>
        <v>Apparel</v>
      </c>
      <c r="M1455" t="str">
        <f>IFERROR(VLOOKUP(C1455, Customers!A:E, 5, FALSE), "Unknown")</f>
        <v>Retail</v>
      </c>
      <c r="N1455" t="str">
        <f>VLOOKUP(E1455, Sales_Reps!A:C, 3, FALSE)</f>
        <v>South</v>
      </c>
      <c r="O1455">
        <f>VLOOKUP(D1455, Products!A:D, 4, FALSE)</f>
        <v>2629</v>
      </c>
      <c r="P1455">
        <f>IFERROR(VLOOKUP(C1455, Customers!A:C, 3, FALSE), 0)</f>
        <v>63</v>
      </c>
      <c r="Q1455">
        <f t="shared" si="22"/>
        <v>0.26151685393258428</v>
      </c>
    </row>
    <row r="1456" spans="1:17" x14ac:dyDescent="0.3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  <c r="L1456" t="str">
        <f>VLOOKUP(D1456, Products!A:C, 3, FALSE)</f>
        <v>Apparel</v>
      </c>
      <c r="M1456" t="str">
        <f>IFERROR(VLOOKUP(C1456, Customers!A:E, 5, FALSE), "Unknown")</f>
        <v>Retail</v>
      </c>
      <c r="N1456" t="str">
        <f>VLOOKUP(E1456, Sales_Reps!A:C, 3, FALSE)</f>
        <v>South</v>
      </c>
      <c r="O1456">
        <f>VLOOKUP(D1456, Products!A:D, 4, FALSE)</f>
        <v>1962</v>
      </c>
      <c r="P1456">
        <f>IFERROR(VLOOKUP(C1456, Customers!A:C, 3, FALSE), 0)</f>
        <v>53</v>
      </c>
      <c r="Q1456">
        <f t="shared" si="22"/>
        <v>0.2786764705882353</v>
      </c>
    </row>
    <row r="1457" spans="1:17" x14ac:dyDescent="0.3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  <c r="L1457" t="str">
        <f>VLOOKUP(D1457, Products!A:C, 3, FALSE)</f>
        <v>Electronics</v>
      </c>
      <c r="M1457" t="str">
        <f>IFERROR(VLOOKUP(C1457, Customers!A:E, 5, FALSE), "Unknown")</f>
        <v>SMB</v>
      </c>
      <c r="N1457" t="str">
        <f>VLOOKUP(E1457, Sales_Reps!A:C, 3, FALSE)</f>
        <v>West</v>
      </c>
      <c r="O1457">
        <f>VLOOKUP(D1457, Products!A:D, 4, FALSE)</f>
        <v>517</v>
      </c>
      <c r="P1457">
        <f>IFERROR(VLOOKUP(C1457, Customers!A:C, 3, FALSE), 0)</f>
        <v>29</v>
      </c>
      <c r="Q1457">
        <f t="shared" si="22"/>
        <v>0.57622950819672136</v>
      </c>
    </row>
    <row r="1458" spans="1:17" x14ac:dyDescent="0.3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  <c r="L1458" t="str">
        <f>VLOOKUP(D1458, Products!A:C, 3, FALSE)</f>
        <v>Home</v>
      </c>
      <c r="M1458" t="str">
        <f>IFERROR(VLOOKUP(C1458, Customers!A:E, 5, FALSE), "Unknown")</f>
        <v>Retail</v>
      </c>
      <c r="N1458" t="str">
        <f>VLOOKUP(E1458, Sales_Reps!A:C, 3, FALSE)</f>
        <v>West</v>
      </c>
      <c r="O1458">
        <f>VLOOKUP(D1458, Products!A:D, 4, FALSE)</f>
        <v>464</v>
      </c>
      <c r="P1458">
        <f>IFERROR(VLOOKUP(C1458, Customers!A:C, 3, FALSE), 0)</f>
        <v>27</v>
      </c>
      <c r="Q1458">
        <f t="shared" si="22"/>
        <v>0.57431192660550456</v>
      </c>
    </row>
    <row r="1459" spans="1:17" x14ac:dyDescent="0.3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  <c r="L1459" t="str">
        <f>VLOOKUP(D1459, Products!A:C, 3, FALSE)</f>
        <v>Home</v>
      </c>
      <c r="M1459" t="str">
        <f>IFERROR(VLOOKUP(C1459, Customers!A:E, 5, FALSE), "Unknown")</f>
        <v>SMB</v>
      </c>
      <c r="N1459" t="str">
        <f>VLOOKUP(E1459, Sales_Reps!A:C, 3, FALSE)</f>
        <v>West</v>
      </c>
      <c r="O1459">
        <f>VLOOKUP(D1459, Products!A:D, 4, FALSE)</f>
        <v>288</v>
      </c>
      <c r="P1459">
        <f>IFERROR(VLOOKUP(C1459, Customers!A:C, 3, FALSE), 0)</f>
        <v>54</v>
      </c>
      <c r="Q1459">
        <f t="shared" si="22"/>
        <v>0.22162162162162163</v>
      </c>
    </row>
    <row r="1460" spans="1:17" x14ac:dyDescent="0.3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  <c r="L1460" t="str">
        <f>VLOOKUP(D1460, Products!A:C, 3, FALSE)</f>
        <v>Sports</v>
      </c>
      <c r="M1460" t="str">
        <f>IFERROR(VLOOKUP(C1460, Customers!A:E, 5, FALSE), "Unknown")</f>
        <v>SMB</v>
      </c>
      <c r="N1460" t="str">
        <f>VLOOKUP(E1460, Sales_Reps!A:C, 3, FALSE)</f>
        <v>North</v>
      </c>
      <c r="O1460">
        <f>VLOOKUP(D1460, Products!A:D, 4, FALSE)</f>
        <v>2028</v>
      </c>
      <c r="P1460">
        <f>IFERROR(VLOOKUP(C1460, Customers!A:C, 3, FALSE), 0)</f>
        <v>43</v>
      </c>
      <c r="Q1460">
        <f t="shared" si="22"/>
        <v>0.29090909090909089</v>
      </c>
    </row>
    <row r="1461" spans="1:17" x14ac:dyDescent="0.3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  <c r="L1461" t="str">
        <f>VLOOKUP(D1461, Products!A:C, 3, FALSE)</f>
        <v>Grocery</v>
      </c>
      <c r="M1461" t="str">
        <f>IFERROR(VLOOKUP(C1461, Customers!A:E, 5, FALSE), "Unknown")</f>
        <v>Corporate</v>
      </c>
      <c r="N1461" t="str">
        <f>VLOOKUP(E1461, Sales_Reps!A:C, 3, FALSE)</f>
        <v>West</v>
      </c>
      <c r="O1461">
        <f>VLOOKUP(D1461, Products!A:D, 4, FALSE)</f>
        <v>1010</v>
      </c>
      <c r="P1461">
        <f>IFERROR(VLOOKUP(C1461, Customers!A:C, 3, FALSE), 0)</f>
        <v>26</v>
      </c>
      <c r="Q1461">
        <f t="shared" si="22"/>
        <v>0.54298642533936647</v>
      </c>
    </row>
    <row r="1462" spans="1:17" x14ac:dyDescent="0.3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  <c r="L1462" t="str">
        <f>VLOOKUP(D1462, Products!A:C, 3, FALSE)</f>
        <v>Grocery</v>
      </c>
      <c r="M1462" t="str">
        <f>IFERROR(VLOOKUP(C1462, Customers!A:E, 5, FALSE), "Unknown")</f>
        <v>SMB</v>
      </c>
      <c r="N1462" t="str">
        <f>VLOOKUP(E1462, Sales_Reps!A:C, 3, FALSE)</f>
        <v>West</v>
      </c>
      <c r="O1462">
        <f>VLOOKUP(D1462, Products!A:D, 4, FALSE)</f>
        <v>434</v>
      </c>
      <c r="P1462">
        <f>IFERROR(VLOOKUP(C1462, Customers!A:C, 3, FALSE), 0)</f>
        <v>24</v>
      </c>
      <c r="Q1462">
        <f t="shared" si="22"/>
        <v>0.5525773195876289</v>
      </c>
    </row>
    <row r="1463" spans="1:17" x14ac:dyDescent="0.3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  <c r="L1463" t="str">
        <f>VLOOKUP(D1463, Products!A:C, 3, FALSE)</f>
        <v>Apparel</v>
      </c>
      <c r="M1463" t="str">
        <f>IFERROR(VLOOKUP(C1463, Customers!A:E, 5, FALSE), "Unknown")</f>
        <v>Retail</v>
      </c>
      <c r="N1463" t="str">
        <f>VLOOKUP(E1463, Sales_Reps!A:C, 3, FALSE)</f>
        <v>East</v>
      </c>
      <c r="O1463">
        <f>VLOOKUP(D1463, Products!A:D, 4, FALSE)</f>
        <v>2629</v>
      </c>
      <c r="P1463">
        <f>IFERROR(VLOOKUP(C1463, Customers!A:C, 3, FALSE), 0)</f>
        <v>27</v>
      </c>
      <c r="Q1463">
        <f t="shared" si="22"/>
        <v>0.26151685393258428</v>
      </c>
    </row>
    <row r="1464" spans="1:17" x14ac:dyDescent="0.3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  <c r="L1464" t="str">
        <f>VLOOKUP(D1464, Products!A:C, 3, FALSE)</f>
        <v>Home</v>
      </c>
      <c r="M1464" t="str">
        <f>IFERROR(VLOOKUP(C1464, Customers!A:E, 5, FALSE), "Unknown")</f>
        <v>Corporate</v>
      </c>
      <c r="N1464" t="str">
        <f>VLOOKUP(E1464, Sales_Reps!A:C, 3, FALSE)</f>
        <v>East</v>
      </c>
      <c r="O1464">
        <f>VLOOKUP(D1464, Products!A:D, 4, FALSE)</f>
        <v>519</v>
      </c>
      <c r="P1464">
        <f>IFERROR(VLOOKUP(C1464, Customers!A:C, 3, FALSE), 0)</f>
        <v>56</v>
      </c>
      <c r="Q1464">
        <f t="shared" si="22"/>
        <v>0.51944444444444449</v>
      </c>
    </row>
    <row r="1465" spans="1:17" x14ac:dyDescent="0.3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  <c r="L1465" t="str">
        <f>VLOOKUP(D1465, Products!A:C, 3, FALSE)</f>
        <v>Electronics</v>
      </c>
      <c r="M1465" t="str">
        <f>IFERROR(VLOOKUP(C1465, Customers!A:E, 5, FALSE), "Unknown")</f>
        <v>Retail</v>
      </c>
      <c r="N1465" t="str">
        <f>VLOOKUP(E1465, Sales_Reps!A:C, 3, FALSE)</f>
        <v>South</v>
      </c>
      <c r="O1465">
        <f>VLOOKUP(D1465, Products!A:D, 4, FALSE)</f>
        <v>517</v>
      </c>
      <c r="P1465">
        <f>IFERROR(VLOOKUP(C1465, Customers!A:C, 3, FALSE), 0)</f>
        <v>59</v>
      </c>
      <c r="Q1465">
        <f t="shared" si="22"/>
        <v>0.57622950819672136</v>
      </c>
    </row>
    <row r="1466" spans="1:17" x14ac:dyDescent="0.3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  <c r="L1466" t="str">
        <f>VLOOKUP(D1466, Products!A:C, 3, FALSE)</f>
        <v>Home</v>
      </c>
      <c r="M1466" t="str">
        <f>IFERROR(VLOOKUP(C1466, Customers!A:E, 5, FALSE), "Unknown")</f>
        <v>Unknown</v>
      </c>
      <c r="N1466" t="str">
        <f>VLOOKUP(E1466, Sales_Reps!A:C, 3, FALSE)</f>
        <v>South</v>
      </c>
      <c r="O1466">
        <f>VLOOKUP(D1466, Products!A:D, 4, FALSE)</f>
        <v>2135</v>
      </c>
      <c r="P1466">
        <f>IFERROR(VLOOKUP(C1466, Customers!A:C, 3, FALSE), 0)</f>
        <v>0</v>
      </c>
      <c r="Q1466">
        <f t="shared" si="22"/>
        <v>0.42761394101876676</v>
      </c>
    </row>
    <row r="1467" spans="1:17" x14ac:dyDescent="0.3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  <c r="L1467" t="str">
        <f>VLOOKUP(D1467, Products!A:C, 3, FALSE)</f>
        <v>Electronics</v>
      </c>
      <c r="M1467" t="str">
        <f>IFERROR(VLOOKUP(C1467, Customers!A:E, 5, FALSE), "Unknown")</f>
        <v>SMB</v>
      </c>
      <c r="N1467" t="str">
        <f>VLOOKUP(E1467, Sales_Reps!A:C, 3, FALSE)</f>
        <v>North</v>
      </c>
      <c r="O1467">
        <f>VLOOKUP(D1467, Products!A:D, 4, FALSE)</f>
        <v>861</v>
      </c>
      <c r="P1467">
        <f>IFERROR(VLOOKUP(C1467, Customers!A:C, 3, FALSE), 0)</f>
        <v>52</v>
      </c>
      <c r="Q1467">
        <f t="shared" si="22"/>
        <v>0.39790209790209791</v>
      </c>
    </row>
    <row r="1468" spans="1:17" x14ac:dyDescent="0.3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  <c r="L1468" t="str">
        <f>VLOOKUP(D1468, Products!A:C, 3, FALSE)</f>
        <v>Beauty</v>
      </c>
      <c r="M1468" t="str">
        <f>IFERROR(VLOOKUP(C1468, Customers!A:E, 5, FALSE), "Unknown")</f>
        <v>Corporate</v>
      </c>
      <c r="N1468" t="str">
        <f>VLOOKUP(E1468, Sales_Reps!A:C, 3, FALSE)</f>
        <v>East</v>
      </c>
      <c r="O1468">
        <f>VLOOKUP(D1468, Products!A:D, 4, FALSE)</f>
        <v>2617</v>
      </c>
      <c r="P1468">
        <f>IFERROR(VLOOKUP(C1468, Customers!A:C, 3, FALSE), 0)</f>
        <v>56</v>
      </c>
      <c r="Q1468">
        <f t="shared" si="22"/>
        <v>0.56957236842105263</v>
      </c>
    </row>
    <row r="1469" spans="1:17" x14ac:dyDescent="0.3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  <c r="L1469" t="str">
        <f>VLOOKUP(D1469, Products!A:C, 3, FALSE)</f>
        <v>Beauty</v>
      </c>
      <c r="M1469" t="str">
        <f>IFERROR(VLOOKUP(C1469, Customers!A:E, 5, FALSE), "Unknown")</f>
        <v>Retail</v>
      </c>
      <c r="N1469" t="str">
        <f>VLOOKUP(E1469, Sales_Reps!A:C, 3, FALSE)</f>
        <v>South</v>
      </c>
      <c r="O1469">
        <f>VLOOKUP(D1469, Products!A:D, 4, FALSE)</f>
        <v>2237</v>
      </c>
      <c r="P1469">
        <f>IFERROR(VLOOKUP(C1469, Customers!A:C, 3, FALSE), 0)</f>
        <v>26</v>
      </c>
      <c r="Q1469">
        <f t="shared" si="22"/>
        <v>0.56137254901960787</v>
      </c>
    </row>
    <row r="1470" spans="1:17" x14ac:dyDescent="0.3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  <c r="L1470" t="str">
        <f>VLOOKUP(D1470, Products!A:C, 3, FALSE)</f>
        <v>Apparel</v>
      </c>
      <c r="M1470" t="str">
        <f>IFERROR(VLOOKUP(C1470, Customers!A:E, 5, FALSE), "Unknown")</f>
        <v>SMB</v>
      </c>
      <c r="N1470" t="str">
        <f>VLOOKUP(E1470, Sales_Reps!A:C, 3, FALSE)</f>
        <v>South</v>
      </c>
      <c r="O1470">
        <f>VLOOKUP(D1470, Products!A:D, 4, FALSE)</f>
        <v>1748</v>
      </c>
      <c r="P1470">
        <f>IFERROR(VLOOKUP(C1470, Customers!A:C, 3, FALSE), 0)</f>
        <v>43</v>
      </c>
      <c r="Q1470">
        <f t="shared" si="22"/>
        <v>0.49333333333333335</v>
      </c>
    </row>
    <row r="1471" spans="1:17" x14ac:dyDescent="0.3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  <c r="L1471" t="str">
        <f>VLOOKUP(D1471, Products!A:C, 3, FALSE)</f>
        <v>Electronics</v>
      </c>
      <c r="M1471" t="str">
        <f>IFERROR(VLOOKUP(C1471, Customers!A:E, 5, FALSE), "Unknown")</f>
        <v>Retail</v>
      </c>
      <c r="N1471" t="str">
        <f>VLOOKUP(E1471, Sales_Reps!A:C, 3, FALSE)</f>
        <v>North</v>
      </c>
      <c r="O1471">
        <f>VLOOKUP(D1471, Products!A:D, 4, FALSE)</f>
        <v>1665</v>
      </c>
      <c r="P1471">
        <f>IFERROR(VLOOKUP(C1471, Customers!A:C, 3, FALSE), 0)</f>
        <v>44</v>
      </c>
      <c r="Q1471">
        <f t="shared" si="22"/>
        <v>0.53361344537815125</v>
      </c>
    </row>
    <row r="1472" spans="1:17" x14ac:dyDescent="0.3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  <c r="L1472" t="str">
        <f>VLOOKUP(D1472, Products!A:C, 3, FALSE)</f>
        <v>Home</v>
      </c>
      <c r="M1472" t="str">
        <f>IFERROR(VLOOKUP(C1472, Customers!A:E, 5, FALSE), "Unknown")</f>
        <v>Retail</v>
      </c>
      <c r="N1472" t="str">
        <f>VLOOKUP(E1472, Sales_Reps!A:C, 3, FALSE)</f>
        <v>East</v>
      </c>
      <c r="O1472">
        <f>VLOOKUP(D1472, Products!A:D, 4, FALSE)</f>
        <v>2135</v>
      </c>
      <c r="P1472">
        <f>IFERROR(VLOOKUP(C1472, Customers!A:C, 3, FALSE), 0)</f>
        <v>38</v>
      </c>
      <c r="Q1472">
        <f t="shared" si="22"/>
        <v>0.42761394101876676</v>
      </c>
    </row>
    <row r="1473" spans="1:17" x14ac:dyDescent="0.3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  <c r="L1473" t="str">
        <f>VLOOKUP(D1473, Products!A:C, 3, FALSE)</f>
        <v>Sports</v>
      </c>
      <c r="M1473" t="str">
        <f>IFERROR(VLOOKUP(C1473, Customers!A:E, 5, FALSE), "Unknown")</f>
        <v>Corporate</v>
      </c>
      <c r="N1473" t="str">
        <f>VLOOKUP(E1473, Sales_Reps!A:C, 3, FALSE)</f>
        <v>East</v>
      </c>
      <c r="O1473">
        <f>VLOOKUP(D1473, Products!A:D, 4, FALSE)</f>
        <v>1860</v>
      </c>
      <c r="P1473">
        <f>IFERROR(VLOOKUP(C1473, Customers!A:C, 3, FALSE), 0)</f>
        <v>55</v>
      </c>
      <c r="Q1473">
        <f t="shared" si="22"/>
        <v>0.50793650793650791</v>
      </c>
    </row>
    <row r="1474" spans="1:17" x14ac:dyDescent="0.3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  <c r="L1474" t="str">
        <f>VLOOKUP(D1474, Products!A:C, 3, FALSE)</f>
        <v>Apparel</v>
      </c>
      <c r="M1474" t="str">
        <f>IFERROR(VLOOKUP(C1474, Customers!A:E, 5, FALSE), "Unknown")</f>
        <v>SMB</v>
      </c>
      <c r="N1474" t="str">
        <f>VLOOKUP(E1474, Sales_Reps!A:C, 3, FALSE)</f>
        <v>South</v>
      </c>
      <c r="O1474">
        <f>VLOOKUP(D1474, Products!A:D, 4, FALSE)</f>
        <v>1075</v>
      </c>
      <c r="P1474">
        <f>IFERROR(VLOOKUP(C1474, Customers!A:C, 3, FALSE), 0)</f>
        <v>42</v>
      </c>
      <c r="Q1474">
        <f t="shared" si="22"/>
        <v>0.57171314741035861</v>
      </c>
    </row>
    <row r="1475" spans="1:17" x14ac:dyDescent="0.3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  <c r="L1475" t="str">
        <f>VLOOKUP(D1475, Products!A:C, 3, FALSE)</f>
        <v>Home</v>
      </c>
      <c r="M1475" t="str">
        <f>IFERROR(VLOOKUP(C1475, Customers!A:E, 5, FALSE), "Unknown")</f>
        <v>Retail</v>
      </c>
      <c r="N1475" t="str">
        <f>VLOOKUP(E1475, Sales_Reps!A:C, 3, FALSE)</f>
        <v>North</v>
      </c>
      <c r="O1475">
        <f>VLOOKUP(D1475, Products!A:D, 4, FALSE)</f>
        <v>329</v>
      </c>
      <c r="P1475">
        <f>IFERROR(VLOOKUP(C1475, Customers!A:C, 3, FALSE), 0)</f>
        <v>63</v>
      </c>
      <c r="Q1475">
        <f t="shared" ref="Q1475:Q1538" si="23">(G1475 - O1475) / G1475</f>
        <v>0.50151515151515147</v>
      </c>
    </row>
    <row r="1476" spans="1:17" x14ac:dyDescent="0.3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  <c r="L1476" t="str">
        <f>VLOOKUP(D1476, Products!A:C, 3, FALSE)</f>
        <v>Apparel</v>
      </c>
      <c r="M1476" t="str">
        <f>IFERROR(VLOOKUP(C1476, Customers!A:E, 5, FALSE), "Unknown")</f>
        <v>Retail</v>
      </c>
      <c r="N1476" t="str">
        <f>VLOOKUP(E1476, Sales_Reps!A:C, 3, FALSE)</f>
        <v>West</v>
      </c>
      <c r="O1476">
        <f>VLOOKUP(D1476, Products!A:D, 4, FALSE)</f>
        <v>2611</v>
      </c>
      <c r="P1476">
        <f>IFERROR(VLOOKUP(C1476, Customers!A:C, 3, FALSE), 0)</f>
        <v>33</v>
      </c>
      <c r="Q1476">
        <f t="shared" si="23"/>
        <v>0.28269230769230769</v>
      </c>
    </row>
    <row r="1477" spans="1:17" x14ac:dyDescent="0.3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  <c r="L1477" t="str">
        <f>VLOOKUP(D1477, Products!A:C, 3, FALSE)</f>
        <v>Sports</v>
      </c>
      <c r="M1477" t="str">
        <f>IFERROR(VLOOKUP(C1477, Customers!A:E, 5, FALSE), "Unknown")</f>
        <v>Corporate</v>
      </c>
      <c r="N1477" t="str">
        <f>VLOOKUP(E1477, Sales_Reps!A:C, 3, FALSE)</f>
        <v>East</v>
      </c>
      <c r="O1477">
        <f>VLOOKUP(D1477, Products!A:D, 4, FALSE)</f>
        <v>2265</v>
      </c>
      <c r="P1477">
        <f>IFERROR(VLOOKUP(C1477, Customers!A:C, 3, FALSE), 0)</f>
        <v>52</v>
      </c>
      <c r="Q1477">
        <f t="shared" si="23"/>
        <v>0.58133086876155271</v>
      </c>
    </row>
    <row r="1478" spans="1:17" x14ac:dyDescent="0.3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  <c r="L1478" t="str">
        <f>VLOOKUP(D1478, Products!A:C, 3, FALSE)</f>
        <v>Sports</v>
      </c>
      <c r="M1478" t="str">
        <f>IFERROR(VLOOKUP(C1478, Customers!A:E, 5, FALSE), "Unknown")</f>
        <v>Retail</v>
      </c>
      <c r="N1478" t="str">
        <f>VLOOKUP(E1478, Sales_Reps!A:C, 3, FALSE)</f>
        <v>North</v>
      </c>
      <c r="O1478">
        <f>VLOOKUP(D1478, Products!A:D, 4, FALSE)</f>
        <v>974</v>
      </c>
      <c r="P1478">
        <f>IFERROR(VLOOKUP(C1478, Customers!A:C, 3, FALSE), 0)</f>
        <v>40</v>
      </c>
      <c r="Q1478">
        <f t="shared" si="23"/>
        <v>0.59416666666666662</v>
      </c>
    </row>
    <row r="1479" spans="1:17" x14ac:dyDescent="0.3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  <c r="L1479" t="str">
        <f>VLOOKUP(D1479, Products!A:C, 3, FALSE)</f>
        <v>Home</v>
      </c>
      <c r="M1479" t="str">
        <f>IFERROR(VLOOKUP(C1479, Customers!A:E, 5, FALSE), "Unknown")</f>
        <v>Corporate</v>
      </c>
      <c r="N1479" t="str">
        <f>VLOOKUP(E1479, Sales_Reps!A:C, 3, FALSE)</f>
        <v>West</v>
      </c>
      <c r="O1479">
        <f>VLOOKUP(D1479, Products!A:D, 4, FALSE)</f>
        <v>2549</v>
      </c>
      <c r="P1479">
        <f>IFERROR(VLOOKUP(C1479, Customers!A:C, 3, FALSE), 0)</f>
        <v>35</v>
      </c>
      <c r="Q1479">
        <f t="shared" si="23"/>
        <v>0.53570127504553733</v>
      </c>
    </row>
    <row r="1480" spans="1:17" x14ac:dyDescent="0.3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  <c r="L1480" t="str">
        <f>VLOOKUP(D1480, Products!A:C, 3, FALSE)</f>
        <v>Beauty</v>
      </c>
      <c r="M1480" t="str">
        <f>IFERROR(VLOOKUP(C1480, Customers!A:E, 5, FALSE), "Unknown")</f>
        <v>Retail</v>
      </c>
      <c r="N1480" t="str">
        <f>VLOOKUP(E1480, Sales_Reps!A:C, 3, FALSE)</f>
        <v>South</v>
      </c>
      <c r="O1480">
        <f>VLOOKUP(D1480, Products!A:D, 4, FALSE)</f>
        <v>647</v>
      </c>
      <c r="P1480">
        <f>IFERROR(VLOOKUP(C1480, Customers!A:C, 3, FALSE), 0)</f>
        <v>42</v>
      </c>
      <c r="Q1480">
        <f t="shared" si="23"/>
        <v>0.57987012987012987</v>
      </c>
    </row>
    <row r="1481" spans="1:17" x14ac:dyDescent="0.3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  <c r="L1481" t="str">
        <f>VLOOKUP(D1481, Products!A:C, 3, FALSE)</f>
        <v>Electronics</v>
      </c>
      <c r="M1481" t="str">
        <f>IFERROR(VLOOKUP(C1481, Customers!A:E, 5, FALSE), "Unknown")</f>
        <v>Retail</v>
      </c>
      <c r="N1481" t="str">
        <f>VLOOKUP(E1481, Sales_Reps!A:C, 3, FALSE)</f>
        <v>North</v>
      </c>
      <c r="O1481">
        <f>VLOOKUP(D1481, Products!A:D, 4, FALSE)</f>
        <v>2405</v>
      </c>
      <c r="P1481">
        <f>IFERROR(VLOOKUP(C1481, Customers!A:C, 3, FALSE), 0)</f>
        <v>31</v>
      </c>
      <c r="Q1481">
        <f t="shared" si="23"/>
        <v>0.54878048780487809</v>
      </c>
    </row>
    <row r="1482" spans="1:17" x14ac:dyDescent="0.3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  <c r="L1482" t="str">
        <f>VLOOKUP(D1482, Products!A:C, 3, FALSE)</f>
        <v>Sports</v>
      </c>
      <c r="M1482" t="str">
        <f>IFERROR(VLOOKUP(C1482, Customers!A:E, 5, FALSE), "Unknown")</f>
        <v>Corporate</v>
      </c>
      <c r="N1482" t="str">
        <f>VLOOKUP(E1482, Sales_Reps!A:C, 3, FALSE)</f>
        <v>South</v>
      </c>
      <c r="O1482">
        <f>VLOOKUP(D1482, Products!A:D, 4, FALSE)</f>
        <v>2028</v>
      </c>
      <c r="P1482">
        <f>IFERROR(VLOOKUP(C1482, Customers!A:C, 3, FALSE), 0)</f>
        <v>60</v>
      </c>
      <c r="Q1482">
        <f t="shared" si="23"/>
        <v>0.29090909090909089</v>
      </c>
    </row>
    <row r="1483" spans="1:17" x14ac:dyDescent="0.3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  <c r="L1483" t="str">
        <f>VLOOKUP(D1483, Products!A:C, 3, FALSE)</f>
        <v>Beauty</v>
      </c>
      <c r="M1483" t="str">
        <f>IFERROR(VLOOKUP(C1483, Customers!A:E, 5, FALSE), "Unknown")</f>
        <v>Retail</v>
      </c>
      <c r="N1483" t="str">
        <f>VLOOKUP(E1483, Sales_Reps!A:C, 3, FALSE)</f>
        <v>North</v>
      </c>
      <c r="O1483">
        <f>VLOOKUP(D1483, Products!A:D, 4, FALSE)</f>
        <v>2768</v>
      </c>
      <c r="P1483">
        <f>IFERROR(VLOOKUP(C1483, Customers!A:C, 3, FALSE), 0)</f>
        <v>52</v>
      </c>
      <c r="Q1483">
        <f t="shared" si="23"/>
        <v>0.43278688524590164</v>
      </c>
    </row>
    <row r="1484" spans="1:17" x14ac:dyDescent="0.3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  <c r="L1484" t="str">
        <f>VLOOKUP(D1484, Products!A:C, 3, FALSE)</f>
        <v>Apparel</v>
      </c>
      <c r="M1484" t="str">
        <f>IFERROR(VLOOKUP(C1484, Customers!A:E, 5, FALSE), "Unknown")</f>
        <v>SMB</v>
      </c>
      <c r="N1484" t="str">
        <f>VLOOKUP(E1484, Sales_Reps!A:C, 3, FALSE)</f>
        <v>North</v>
      </c>
      <c r="O1484">
        <f>VLOOKUP(D1484, Products!A:D, 4, FALSE)</f>
        <v>1075</v>
      </c>
      <c r="P1484">
        <f>IFERROR(VLOOKUP(C1484, Customers!A:C, 3, FALSE), 0)</f>
        <v>59</v>
      </c>
      <c r="Q1484">
        <f t="shared" si="23"/>
        <v>0.57171314741035861</v>
      </c>
    </row>
    <row r="1485" spans="1:17" x14ac:dyDescent="0.3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  <c r="L1485" t="str">
        <f>VLOOKUP(D1485, Products!A:C, 3, FALSE)</f>
        <v>Electronics</v>
      </c>
      <c r="M1485" t="str">
        <f>IFERROR(VLOOKUP(C1485, Customers!A:E, 5, FALSE), "Unknown")</f>
        <v>Unknown</v>
      </c>
      <c r="N1485" t="str">
        <f>VLOOKUP(E1485, Sales_Reps!A:C, 3, FALSE)</f>
        <v>East</v>
      </c>
      <c r="O1485">
        <f>VLOOKUP(D1485, Products!A:D, 4, FALSE)</f>
        <v>2865</v>
      </c>
      <c r="P1485">
        <f>IFERROR(VLOOKUP(C1485, Customers!A:C, 3, FALSE), 0)</f>
        <v>0</v>
      </c>
      <c r="Q1485">
        <f t="shared" si="23"/>
        <v>0.27833753148614609</v>
      </c>
    </row>
    <row r="1486" spans="1:17" x14ac:dyDescent="0.3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  <c r="L1486" t="str">
        <f>VLOOKUP(D1486, Products!A:C, 3, FALSE)</f>
        <v>Sports</v>
      </c>
      <c r="M1486" t="str">
        <f>IFERROR(VLOOKUP(C1486, Customers!A:E, 5, FALSE), "Unknown")</f>
        <v>Retail</v>
      </c>
      <c r="N1486" t="str">
        <f>VLOOKUP(E1486, Sales_Reps!A:C, 3, FALSE)</f>
        <v>West</v>
      </c>
      <c r="O1486">
        <f>VLOOKUP(D1486, Products!A:D, 4, FALSE)</f>
        <v>302</v>
      </c>
      <c r="P1486">
        <f>IFERROR(VLOOKUP(C1486, Customers!A:C, 3, FALSE), 0)</f>
        <v>44</v>
      </c>
      <c r="Q1486">
        <f t="shared" si="23"/>
        <v>0.35744680851063831</v>
      </c>
    </row>
    <row r="1487" spans="1:17" x14ac:dyDescent="0.3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  <c r="L1487" t="str">
        <f>VLOOKUP(D1487, Products!A:C, 3, FALSE)</f>
        <v>Electronics</v>
      </c>
      <c r="M1487" t="str">
        <f>IFERROR(VLOOKUP(C1487, Customers!A:E, 5, FALSE), "Unknown")</f>
        <v>Retail</v>
      </c>
      <c r="N1487" t="str">
        <f>VLOOKUP(E1487, Sales_Reps!A:C, 3, FALSE)</f>
        <v>West</v>
      </c>
      <c r="O1487">
        <f>VLOOKUP(D1487, Products!A:D, 4, FALSE)</f>
        <v>2405</v>
      </c>
      <c r="P1487">
        <f>IFERROR(VLOOKUP(C1487, Customers!A:C, 3, FALSE), 0)</f>
        <v>29</v>
      </c>
      <c r="Q1487">
        <f t="shared" si="23"/>
        <v>0.54878048780487809</v>
      </c>
    </row>
    <row r="1488" spans="1:17" x14ac:dyDescent="0.3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  <c r="L1488" t="str">
        <f>VLOOKUP(D1488, Products!A:C, 3, FALSE)</f>
        <v>Home</v>
      </c>
      <c r="M1488" t="str">
        <f>IFERROR(VLOOKUP(C1488, Customers!A:E, 5, FALSE), "Unknown")</f>
        <v>SMB</v>
      </c>
      <c r="N1488" t="str">
        <f>VLOOKUP(E1488, Sales_Reps!A:C, 3, FALSE)</f>
        <v>South</v>
      </c>
      <c r="O1488">
        <f>VLOOKUP(D1488, Products!A:D, 4, FALSE)</f>
        <v>464</v>
      </c>
      <c r="P1488">
        <f>IFERROR(VLOOKUP(C1488, Customers!A:C, 3, FALSE), 0)</f>
        <v>46</v>
      </c>
      <c r="Q1488">
        <f t="shared" si="23"/>
        <v>0.57431192660550456</v>
      </c>
    </row>
    <row r="1489" spans="1:17" x14ac:dyDescent="0.3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  <c r="L1489" t="str">
        <f>VLOOKUP(D1489, Products!A:C, 3, FALSE)</f>
        <v>Sports</v>
      </c>
      <c r="M1489" t="str">
        <f>IFERROR(VLOOKUP(C1489, Customers!A:E, 5, FALSE), "Unknown")</f>
        <v>SMB</v>
      </c>
      <c r="N1489" t="str">
        <f>VLOOKUP(E1489, Sales_Reps!A:C, 3, FALSE)</f>
        <v>South</v>
      </c>
      <c r="O1489">
        <f>VLOOKUP(D1489, Products!A:D, 4, FALSE)</f>
        <v>516</v>
      </c>
      <c r="P1489">
        <f>IFERROR(VLOOKUP(C1489, Customers!A:C, 3, FALSE), 0)</f>
        <v>30</v>
      </c>
      <c r="Q1489">
        <f t="shared" si="23"/>
        <v>0.4891089108910891</v>
      </c>
    </row>
    <row r="1490" spans="1:17" x14ac:dyDescent="0.3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  <c r="L1490" t="str">
        <f>VLOOKUP(D1490, Products!A:C, 3, FALSE)</f>
        <v>Electronics</v>
      </c>
      <c r="M1490" t="str">
        <f>IFERROR(VLOOKUP(C1490, Customers!A:E, 5, FALSE), "Unknown")</f>
        <v>Corporate</v>
      </c>
      <c r="N1490" t="str">
        <f>VLOOKUP(E1490, Sales_Reps!A:C, 3, FALSE)</f>
        <v>South</v>
      </c>
      <c r="O1490">
        <f>VLOOKUP(D1490, Products!A:D, 4, FALSE)</f>
        <v>1559</v>
      </c>
      <c r="P1490">
        <f>IFERROR(VLOOKUP(C1490, Customers!A:C, 3, FALSE), 0)</f>
        <v>40</v>
      </c>
      <c r="Q1490">
        <f t="shared" si="23"/>
        <v>0.59715762273901807</v>
      </c>
    </row>
    <row r="1491" spans="1:17" x14ac:dyDescent="0.3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  <c r="L1491" t="str">
        <f>VLOOKUP(D1491, Products!A:C, 3, FALSE)</f>
        <v>Electronics</v>
      </c>
      <c r="M1491" t="str">
        <f>IFERROR(VLOOKUP(C1491, Customers!A:E, 5, FALSE), "Unknown")</f>
        <v>Retail</v>
      </c>
      <c r="N1491" t="str">
        <f>VLOOKUP(E1491, Sales_Reps!A:C, 3, FALSE)</f>
        <v>South</v>
      </c>
      <c r="O1491">
        <f>VLOOKUP(D1491, Products!A:D, 4, FALSE)</f>
        <v>1259</v>
      </c>
      <c r="P1491">
        <f>IFERROR(VLOOKUP(C1491, Customers!A:C, 3, FALSE), 0)</f>
        <v>41</v>
      </c>
      <c r="Q1491">
        <f t="shared" si="23"/>
        <v>0.52669172932330832</v>
      </c>
    </row>
    <row r="1492" spans="1:17" x14ac:dyDescent="0.3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  <c r="L1492" t="str">
        <f>VLOOKUP(D1492, Products!A:C, 3, FALSE)</f>
        <v>Electronics</v>
      </c>
      <c r="M1492" t="str">
        <f>IFERROR(VLOOKUP(C1492, Customers!A:E, 5, FALSE), "Unknown")</f>
        <v>Corporate</v>
      </c>
      <c r="N1492" t="str">
        <f>VLOOKUP(E1492, Sales_Reps!A:C, 3, FALSE)</f>
        <v>East</v>
      </c>
      <c r="O1492">
        <f>VLOOKUP(D1492, Products!A:D, 4, FALSE)</f>
        <v>861</v>
      </c>
      <c r="P1492">
        <f>IFERROR(VLOOKUP(C1492, Customers!A:C, 3, FALSE), 0)</f>
        <v>55</v>
      </c>
      <c r="Q1492">
        <f t="shared" si="23"/>
        <v>0.39790209790209791</v>
      </c>
    </row>
    <row r="1493" spans="1:17" x14ac:dyDescent="0.3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  <c r="L1493" t="str">
        <f>VLOOKUP(D1493, Products!A:C, 3, FALSE)</f>
        <v>Beauty</v>
      </c>
      <c r="M1493" t="str">
        <f>IFERROR(VLOOKUP(C1493, Customers!A:E, 5, FALSE), "Unknown")</f>
        <v>Corporate</v>
      </c>
      <c r="N1493" t="str">
        <f>VLOOKUP(E1493, Sales_Reps!A:C, 3, FALSE)</f>
        <v>East</v>
      </c>
      <c r="O1493">
        <f>VLOOKUP(D1493, Products!A:D, 4, FALSE)</f>
        <v>2768</v>
      </c>
      <c r="P1493">
        <f>IFERROR(VLOOKUP(C1493, Customers!A:C, 3, FALSE), 0)</f>
        <v>36</v>
      </c>
      <c r="Q1493">
        <f t="shared" si="23"/>
        <v>0.43278688524590164</v>
      </c>
    </row>
    <row r="1494" spans="1:17" x14ac:dyDescent="0.3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  <c r="L1494" t="str">
        <f>VLOOKUP(D1494, Products!A:C, 3, FALSE)</f>
        <v>Sports</v>
      </c>
      <c r="M1494" t="str">
        <f>IFERROR(VLOOKUP(C1494, Customers!A:E, 5, FALSE), "Unknown")</f>
        <v>Retail</v>
      </c>
      <c r="N1494" t="str">
        <f>VLOOKUP(E1494, Sales_Reps!A:C, 3, FALSE)</f>
        <v>North</v>
      </c>
      <c r="O1494">
        <f>VLOOKUP(D1494, Products!A:D, 4, FALSE)</f>
        <v>147</v>
      </c>
      <c r="P1494">
        <f>IFERROR(VLOOKUP(C1494, Customers!A:C, 3, FALSE), 0)</f>
        <v>55</v>
      </c>
      <c r="Q1494">
        <f t="shared" si="23"/>
        <v>0.22631578947368422</v>
      </c>
    </row>
    <row r="1495" spans="1:17" x14ac:dyDescent="0.3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  <c r="L1495" t="str">
        <f>VLOOKUP(D1495, Products!A:C, 3, FALSE)</f>
        <v>Beauty</v>
      </c>
      <c r="M1495" t="str">
        <f>IFERROR(VLOOKUP(C1495, Customers!A:E, 5, FALSE), "Unknown")</f>
        <v>Corporate</v>
      </c>
      <c r="N1495" t="str">
        <f>VLOOKUP(E1495, Sales_Reps!A:C, 3, FALSE)</f>
        <v>East</v>
      </c>
      <c r="O1495">
        <f>VLOOKUP(D1495, Products!A:D, 4, FALSE)</f>
        <v>1626</v>
      </c>
      <c r="P1495">
        <f>IFERROR(VLOOKUP(C1495, Customers!A:C, 3, FALSE), 0)</f>
        <v>31</v>
      </c>
      <c r="Q1495">
        <f t="shared" si="23"/>
        <v>0.46158940397350995</v>
      </c>
    </row>
    <row r="1496" spans="1:17" x14ac:dyDescent="0.3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  <c r="L1496" t="str">
        <f>VLOOKUP(D1496, Products!A:C, 3, FALSE)</f>
        <v>Beauty</v>
      </c>
      <c r="M1496" t="str">
        <f>IFERROR(VLOOKUP(C1496, Customers!A:E, 5, FALSE), "Unknown")</f>
        <v>Corporate</v>
      </c>
      <c r="N1496" t="str">
        <f>VLOOKUP(E1496, Sales_Reps!A:C, 3, FALSE)</f>
        <v>East</v>
      </c>
      <c r="O1496">
        <f>VLOOKUP(D1496, Products!A:D, 4, FALSE)</f>
        <v>2768</v>
      </c>
      <c r="P1496">
        <f>IFERROR(VLOOKUP(C1496, Customers!A:C, 3, FALSE), 0)</f>
        <v>57</v>
      </c>
      <c r="Q1496">
        <f t="shared" si="23"/>
        <v>0.43278688524590164</v>
      </c>
    </row>
    <row r="1497" spans="1:17" x14ac:dyDescent="0.3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  <c r="L1497" t="str">
        <f>VLOOKUP(D1497, Products!A:C, 3, FALSE)</f>
        <v>Sports</v>
      </c>
      <c r="M1497" t="str">
        <f>IFERROR(VLOOKUP(C1497, Customers!A:E, 5, FALSE), "Unknown")</f>
        <v>Corporate</v>
      </c>
      <c r="N1497" t="str">
        <f>VLOOKUP(E1497, Sales_Reps!A:C, 3, FALSE)</f>
        <v>West</v>
      </c>
      <c r="O1497">
        <f>VLOOKUP(D1497, Products!A:D, 4, FALSE)</f>
        <v>974</v>
      </c>
      <c r="P1497">
        <f>IFERROR(VLOOKUP(C1497, Customers!A:C, 3, FALSE), 0)</f>
        <v>41</v>
      </c>
      <c r="Q1497">
        <f t="shared" si="23"/>
        <v>0.59416666666666662</v>
      </c>
    </row>
    <row r="1498" spans="1:17" x14ac:dyDescent="0.3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  <c r="L1498" t="str">
        <f>VLOOKUP(D1498, Products!A:C, 3, FALSE)</f>
        <v>Beauty</v>
      </c>
      <c r="M1498" t="str">
        <f>IFERROR(VLOOKUP(C1498, Customers!A:E, 5, FALSE), "Unknown")</f>
        <v>Retail</v>
      </c>
      <c r="N1498" t="str">
        <f>VLOOKUP(E1498, Sales_Reps!A:C, 3, FALSE)</f>
        <v>North</v>
      </c>
      <c r="O1498">
        <f>VLOOKUP(D1498, Products!A:D, 4, FALSE)</f>
        <v>2617</v>
      </c>
      <c r="P1498">
        <f>IFERROR(VLOOKUP(C1498, Customers!A:C, 3, FALSE), 0)</f>
        <v>65</v>
      </c>
      <c r="Q1498">
        <f t="shared" si="23"/>
        <v>0.56957236842105263</v>
      </c>
    </row>
    <row r="1499" spans="1:17" x14ac:dyDescent="0.3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  <c r="L1499" t="str">
        <f>VLOOKUP(D1499, Products!A:C, 3, FALSE)</f>
        <v>Grocery</v>
      </c>
      <c r="M1499" t="str">
        <f>IFERROR(VLOOKUP(C1499, Customers!A:E, 5, FALSE), "Unknown")</f>
        <v>Retail</v>
      </c>
      <c r="N1499" t="str">
        <f>VLOOKUP(E1499, Sales_Reps!A:C, 3, FALSE)</f>
        <v>East</v>
      </c>
      <c r="O1499">
        <f>VLOOKUP(D1499, Products!A:D, 4, FALSE)</f>
        <v>1182</v>
      </c>
      <c r="P1499">
        <f>IFERROR(VLOOKUP(C1499, Customers!A:C, 3, FALSE), 0)</f>
        <v>32</v>
      </c>
      <c r="Q1499">
        <f t="shared" si="23"/>
        <v>0.50336134453781511</v>
      </c>
    </row>
    <row r="1500" spans="1:17" x14ac:dyDescent="0.3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  <c r="L1500" t="str">
        <f>VLOOKUP(D1500, Products!A:C, 3, FALSE)</f>
        <v>Beauty</v>
      </c>
      <c r="M1500" t="str">
        <f>IFERROR(VLOOKUP(C1500, Customers!A:E, 5, FALSE), "Unknown")</f>
        <v>SMB</v>
      </c>
      <c r="N1500" t="str">
        <f>VLOOKUP(E1500, Sales_Reps!A:C, 3, FALSE)</f>
        <v>North</v>
      </c>
      <c r="O1500">
        <f>VLOOKUP(D1500, Products!A:D, 4, FALSE)</f>
        <v>647</v>
      </c>
      <c r="P1500">
        <f>IFERROR(VLOOKUP(C1500, Customers!A:C, 3, FALSE), 0)</f>
        <v>62</v>
      </c>
      <c r="Q1500">
        <f t="shared" si="23"/>
        <v>0.57987012987012987</v>
      </c>
    </row>
    <row r="1501" spans="1:17" x14ac:dyDescent="0.3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  <c r="L1501" t="str">
        <f>VLOOKUP(D1501, Products!A:C, 3, FALSE)</f>
        <v>Electronics</v>
      </c>
      <c r="M1501" t="str">
        <f>IFERROR(VLOOKUP(C1501, Customers!A:E, 5, FALSE), "Unknown")</f>
        <v>Retail</v>
      </c>
      <c r="N1501" t="str">
        <f>VLOOKUP(E1501, Sales_Reps!A:C, 3, FALSE)</f>
        <v>West</v>
      </c>
      <c r="O1501">
        <f>VLOOKUP(D1501, Products!A:D, 4, FALSE)</f>
        <v>1559</v>
      </c>
      <c r="P1501">
        <f>IFERROR(VLOOKUP(C1501, Customers!A:C, 3, FALSE), 0)</f>
        <v>49</v>
      </c>
      <c r="Q1501">
        <f t="shared" si="23"/>
        <v>0.59715762273901807</v>
      </c>
    </row>
    <row r="1502" spans="1:17" x14ac:dyDescent="0.3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  <c r="L1502" t="str">
        <f>VLOOKUP(D1502, Products!A:C, 3, FALSE)</f>
        <v>Home</v>
      </c>
      <c r="M1502" t="str">
        <f>IFERROR(VLOOKUP(C1502, Customers!A:E, 5, FALSE), "Unknown")</f>
        <v>Corporate</v>
      </c>
      <c r="N1502" t="str">
        <f>VLOOKUP(E1502, Sales_Reps!A:C, 3, FALSE)</f>
        <v>East</v>
      </c>
      <c r="O1502">
        <f>VLOOKUP(D1502, Products!A:D, 4, FALSE)</f>
        <v>288</v>
      </c>
      <c r="P1502">
        <f>IFERROR(VLOOKUP(C1502, Customers!A:C, 3, FALSE), 0)</f>
        <v>40</v>
      </c>
      <c r="Q1502">
        <f t="shared" si="23"/>
        <v>0.22162162162162163</v>
      </c>
    </row>
    <row r="1503" spans="1:17" x14ac:dyDescent="0.3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  <c r="L1503" t="str">
        <f>VLOOKUP(D1503, Products!A:C, 3, FALSE)</f>
        <v>Sports</v>
      </c>
      <c r="M1503" t="str">
        <f>IFERROR(VLOOKUP(C1503, Customers!A:E, 5, FALSE), "Unknown")</f>
        <v>Retail</v>
      </c>
      <c r="N1503" t="str">
        <f>VLOOKUP(E1503, Sales_Reps!A:C, 3, FALSE)</f>
        <v>West</v>
      </c>
      <c r="O1503">
        <f>VLOOKUP(D1503, Products!A:D, 4, FALSE)</f>
        <v>147</v>
      </c>
      <c r="P1503">
        <f>IFERROR(VLOOKUP(C1503, Customers!A:C, 3, FALSE), 0)</f>
        <v>42</v>
      </c>
      <c r="Q1503">
        <f t="shared" si="23"/>
        <v>0.22631578947368422</v>
      </c>
    </row>
    <row r="1504" spans="1:17" x14ac:dyDescent="0.3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  <c r="L1504" t="str">
        <f>VLOOKUP(D1504, Products!A:C, 3, FALSE)</f>
        <v>Electronics</v>
      </c>
      <c r="M1504" t="str">
        <f>IFERROR(VLOOKUP(C1504, Customers!A:E, 5, FALSE), "Unknown")</f>
        <v>Retail</v>
      </c>
      <c r="N1504" t="str">
        <f>VLOOKUP(E1504, Sales_Reps!A:C, 3, FALSE)</f>
        <v>South</v>
      </c>
      <c r="O1504">
        <f>VLOOKUP(D1504, Products!A:D, 4, FALSE)</f>
        <v>861</v>
      </c>
      <c r="P1504">
        <f>IFERROR(VLOOKUP(C1504, Customers!A:C, 3, FALSE), 0)</f>
        <v>39</v>
      </c>
      <c r="Q1504">
        <f t="shared" si="23"/>
        <v>0.39790209790209791</v>
      </c>
    </row>
    <row r="1505" spans="1:17" x14ac:dyDescent="0.3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  <c r="L1505" t="str">
        <f>VLOOKUP(D1505, Products!A:C, 3, FALSE)</f>
        <v>Sports</v>
      </c>
      <c r="M1505" t="str">
        <f>IFERROR(VLOOKUP(C1505, Customers!A:E, 5, FALSE), "Unknown")</f>
        <v>Corporate</v>
      </c>
      <c r="N1505" t="str">
        <f>VLOOKUP(E1505, Sales_Reps!A:C, 3, FALSE)</f>
        <v>East</v>
      </c>
      <c r="O1505">
        <f>VLOOKUP(D1505, Products!A:D, 4, FALSE)</f>
        <v>302</v>
      </c>
      <c r="P1505">
        <f>IFERROR(VLOOKUP(C1505, Customers!A:C, 3, FALSE), 0)</f>
        <v>35</v>
      </c>
      <c r="Q1505">
        <f t="shared" si="23"/>
        <v>0.35744680851063831</v>
      </c>
    </row>
    <row r="1506" spans="1:17" x14ac:dyDescent="0.3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  <c r="L1506" t="str">
        <f>VLOOKUP(D1506, Products!A:C, 3, FALSE)</f>
        <v>Apparel</v>
      </c>
      <c r="M1506" t="str">
        <f>IFERROR(VLOOKUP(C1506, Customers!A:E, 5, FALSE), "Unknown")</f>
        <v>Retail</v>
      </c>
      <c r="N1506" t="str">
        <f>VLOOKUP(E1506, Sales_Reps!A:C, 3, FALSE)</f>
        <v>North</v>
      </c>
      <c r="O1506">
        <f>VLOOKUP(D1506, Products!A:D, 4, FALSE)</f>
        <v>2629</v>
      </c>
      <c r="P1506">
        <f>IFERROR(VLOOKUP(C1506, Customers!A:C, 3, FALSE), 0)</f>
        <v>49</v>
      </c>
      <c r="Q1506">
        <f t="shared" si="23"/>
        <v>0.26151685393258428</v>
      </c>
    </row>
    <row r="1507" spans="1:17" x14ac:dyDescent="0.3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  <c r="L1507" t="str">
        <f>VLOOKUP(D1507, Products!A:C, 3, FALSE)</f>
        <v>Beauty</v>
      </c>
      <c r="M1507" t="str">
        <f>IFERROR(VLOOKUP(C1507, Customers!A:E, 5, FALSE), "Unknown")</f>
        <v>Retail</v>
      </c>
      <c r="N1507" t="str">
        <f>VLOOKUP(E1507, Sales_Reps!A:C, 3, FALSE)</f>
        <v>South</v>
      </c>
      <c r="O1507">
        <f>VLOOKUP(D1507, Products!A:D, 4, FALSE)</f>
        <v>2768</v>
      </c>
      <c r="P1507">
        <f>IFERROR(VLOOKUP(C1507, Customers!A:C, 3, FALSE), 0)</f>
        <v>49</v>
      </c>
      <c r="Q1507">
        <f t="shared" si="23"/>
        <v>0.43278688524590164</v>
      </c>
    </row>
    <row r="1508" spans="1:17" x14ac:dyDescent="0.3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  <c r="L1508" t="str">
        <f>VLOOKUP(D1508, Products!A:C, 3, FALSE)</f>
        <v>Electronics</v>
      </c>
      <c r="M1508" t="str">
        <f>IFERROR(VLOOKUP(C1508, Customers!A:E, 5, FALSE), "Unknown")</f>
        <v>Retail</v>
      </c>
      <c r="N1508" t="str">
        <f>VLOOKUP(E1508, Sales_Reps!A:C, 3, FALSE)</f>
        <v>South</v>
      </c>
      <c r="O1508">
        <f>VLOOKUP(D1508, Products!A:D, 4, FALSE)</f>
        <v>1665</v>
      </c>
      <c r="P1508">
        <f>IFERROR(VLOOKUP(C1508, Customers!A:C, 3, FALSE), 0)</f>
        <v>26</v>
      </c>
      <c r="Q1508">
        <f t="shared" si="23"/>
        <v>0.53361344537815125</v>
      </c>
    </row>
    <row r="1509" spans="1:17" x14ac:dyDescent="0.3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  <c r="L1509" t="str">
        <f>VLOOKUP(D1509, Products!A:C, 3, FALSE)</f>
        <v>Sports</v>
      </c>
      <c r="M1509" t="str">
        <f>IFERROR(VLOOKUP(C1509, Customers!A:E, 5, FALSE), "Unknown")</f>
        <v>Retail</v>
      </c>
      <c r="N1509" t="str">
        <f>VLOOKUP(E1509, Sales_Reps!A:C, 3, FALSE)</f>
        <v>West</v>
      </c>
      <c r="O1509">
        <f>VLOOKUP(D1509, Products!A:D, 4, FALSE)</f>
        <v>2467</v>
      </c>
      <c r="P1509">
        <f>IFERROR(VLOOKUP(C1509, Customers!A:C, 3, FALSE), 0)</f>
        <v>34</v>
      </c>
      <c r="Q1509">
        <f t="shared" si="23"/>
        <v>0.28492753623188405</v>
      </c>
    </row>
    <row r="1510" spans="1:17" x14ac:dyDescent="0.3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  <c r="L1510" t="str">
        <f>VLOOKUP(D1510, Products!A:C, 3, FALSE)</f>
        <v>Home</v>
      </c>
      <c r="M1510" t="str">
        <f>IFERROR(VLOOKUP(C1510, Customers!A:E, 5, FALSE), "Unknown")</f>
        <v>Corporate</v>
      </c>
      <c r="N1510" t="str">
        <f>VLOOKUP(E1510, Sales_Reps!A:C, 3, FALSE)</f>
        <v>North</v>
      </c>
      <c r="O1510">
        <f>VLOOKUP(D1510, Products!A:D, 4, FALSE)</f>
        <v>519</v>
      </c>
      <c r="P1510">
        <f>IFERROR(VLOOKUP(C1510, Customers!A:C, 3, FALSE), 0)</f>
        <v>55</v>
      </c>
      <c r="Q1510">
        <f t="shared" si="23"/>
        <v>0.51944444444444449</v>
      </c>
    </row>
    <row r="1511" spans="1:17" x14ac:dyDescent="0.3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  <c r="L1511" t="str">
        <f>VLOOKUP(D1511, Products!A:C, 3, FALSE)</f>
        <v>Beauty</v>
      </c>
      <c r="M1511" t="str">
        <f>IFERROR(VLOOKUP(C1511, Customers!A:E, 5, FALSE), "Unknown")</f>
        <v>SMB</v>
      </c>
      <c r="N1511" t="str">
        <f>VLOOKUP(E1511, Sales_Reps!A:C, 3, FALSE)</f>
        <v>West</v>
      </c>
      <c r="O1511">
        <f>VLOOKUP(D1511, Products!A:D, 4, FALSE)</f>
        <v>647</v>
      </c>
      <c r="P1511">
        <f>IFERROR(VLOOKUP(C1511, Customers!A:C, 3, FALSE), 0)</f>
        <v>59</v>
      </c>
      <c r="Q1511">
        <f t="shared" si="23"/>
        <v>0.57987012987012987</v>
      </c>
    </row>
    <row r="1512" spans="1:17" x14ac:dyDescent="0.3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  <c r="L1512" t="str">
        <f>VLOOKUP(D1512, Products!A:C, 3, FALSE)</f>
        <v>Apparel</v>
      </c>
      <c r="M1512" t="str">
        <f>IFERROR(VLOOKUP(C1512, Customers!A:E, 5, FALSE), "Unknown")</f>
        <v>Unknown</v>
      </c>
      <c r="N1512" t="str">
        <f>VLOOKUP(E1512, Sales_Reps!A:C, 3, FALSE)</f>
        <v>South</v>
      </c>
      <c r="O1512">
        <f>VLOOKUP(D1512, Products!A:D, 4, FALSE)</f>
        <v>1962</v>
      </c>
      <c r="P1512">
        <f>IFERROR(VLOOKUP(C1512, Customers!A:C, 3, FALSE), 0)</f>
        <v>0</v>
      </c>
      <c r="Q1512">
        <f t="shared" si="23"/>
        <v>0.2786764705882353</v>
      </c>
    </row>
    <row r="1513" spans="1:17" x14ac:dyDescent="0.3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  <c r="L1513" t="str">
        <f>VLOOKUP(D1513, Products!A:C, 3, FALSE)</f>
        <v>Home</v>
      </c>
      <c r="M1513" t="str">
        <f>IFERROR(VLOOKUP(C1513, Customers!A:E, 5, FALSE), "Unknown")</f>
        <v>Retail</v>
      </c>
      <c r="N1513" t="str">
        <f>VLOOKUP(E1513, Sales_Reps!A:C, 3, FALSE)</f>
        <v>North</v>
      </c>
      <c r="O1513">
        <f>VLOOKUP(D1513, Products!A:D, 4, FALSE)</f>
        <v>2459</v>
      </c>
      <c r="P1513">
        <f>IFERROR(VLOOKUP(C1513, Customers!A:C, 3, FALSE), 0)</f>
        <v>27</v>
      </c>
      <c r="Q1513">
        <f t="shared" si="23"/>
        <v>0.51594488188976373</v>
      </c>
    </row>
    <row r="1514" spans="1:17" x14ac:dyDescent="0.3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  <c r="L1514" t="str">
        <f>VLOOKUP(D1514, Products!A:C, 3, FALSE)</f>
        <v>Apparel</v>
      </c>
      <c r="M1514" t="str">
        <f>IFERROR(VLOOKUP(C1514, Customers!A:E, 5, FALSE), "Unknown")</f>
        <v>Unknown</v>
      </c>
      <c r="N1514" t="str">
        <f>VLOOKUP(E1514, Sales_Reps!A:C, 3, FALSE)</f>
        <v>North</v>
      </c>
      <c r="O1514">
        <f>VLOOKUP(D1514, Products!A:D, 4, FALSE)</f>
        <v>396</v>
      </c>
      <c r="P1514">
        <f>IFERROR(VLOOKUP(C1514, Customers!A:C, 3, FALSE), 0)</f>
        <v>0</v>
      </c>
      <c r="Q1514">
        <f t="shared" si="23"/>
        <v>0.36129032258064514</v>
      </c>
    </row>
    <row r="1515" spans="1:17" x14ac:dyDescent="0.3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  <c r="L1515" t="str">
        <f>VLOOKUP(D1515, Products!A:C, 3, FALSE)</f>
        <v>Apparel</v>
      </c>
      <c r="M1515" t="str">
        <f>IFERROR(VLOOKUP(C1515, Customers!A:E, 5, FALSE), "Unknown")</f>
        <v>SMB</v>
      </c>
      <c r="N1515" t="str">
        <f>VLOOKUP(E1515, Sales_Reps!A:C, 3, FALSE)</f>
        <v>North</v>
      </c>
      <c r="O1515">
        <f>VLOOKUP(D1515, Products!A:D, 4, FALSE)</f>
        <v>1173</v>
      </c>
      <c r="P1515">
        <f>IFERROR(VLOOKUP(C1515, Customers!A:C, 3, FALSE), 0)</f>
        <v>54</v>
      </c>
      <c r="Q1515">
        <f t="shared" si="23"/>
        <v>0.52701612903225803</v>
      </c>
    </row>
    <row r="1516" spans="1:17" x14ac:dyDescent="0.3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  <c r="L1516" t="str">
        <f>VLOOKUP(D1516, Products!A:C, 3, FALSE)</f>
        <v>Sports</v>
      </c>
      <c r="M1516" t="str">
        <f>IFERROR(VLOOKUP(C1516, Customers!A:E, 5, FALSE), "Unknown")</f>
        <v>Corporate</v>
      </c>
      <c r="N1516" t="str">
        <f>VLOOKUP(E1516, Sales_Reps!A:C, 3, FALSE)</f>
        <v>North</v>
      </c>
      <c r="O1516">
        <f>VLOOKUP(D1516, Products!A:D, 4, FALSE)</f>
        <v>516</v>
      </c>
      <c r="P1516">
        <f>IFERROR(VLOOKUP(C1516, Customers!A:C, 3, FALSE), 0)</f>
        <v>55</v>
      </c>
      <c r="Q1516">
        <f t="shared" si="23"/>
        <v>0.4891089108910891</v>
      </c>
    </row>
    <row r="1517" spans="1:17" x14ac:dyDescent="0.3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  <c r="L1517" t="str">
        <f>VLOOKUP(D1517, Products!A:C, 3, FALSE)</f>
        <v>Home</v>
      </c>
      <c r="M1517" t="str">
        <f>IFERROR(VLOOKUP(C1517, Customers!A:E, 5, FALSE), "Unknown")</f>
        <v>Retail</v>
      </c>
      <c r="N1517" t="str">
        <f>VLOOKUP(E1517, Sales_Reps!A:C, 3, FALSE)</f>
        <v>North</v>
      </c>
      <c r="O1517">
        <f>VLOOKUP(D1517, Products!A:D, 4, FALSE)</f>
        <v>519</v>
      </c>
      <c r="P1517">
        <f>IFERROR(VLOOKUP(C1517, Customers!A:C, 3, FALSE), 0)</f>
        <v>22</v>
      </c>
      <c r="Q1517">
        <f t="shared" si="23"/>
        <v>0.51944444444444449</v>
      </c>
    </row>
    <row r="1518" spans="1:17" x14ac:dyDescent="0.3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  <c r="L1518" t="str">
        <f>VLOOKUP(D1518, Products!A:C, 3, FALSE)</f>
        <v>Sports</v>
      </c>
      <c r="M1518" t="str">
        <f>IFERROR(VLOOKUP(C1518, Customers!A:E, 5, FALSE), "Unknown")</f>
        <v>Retail</v>
      </c>
      <c r="N1518" t="str">
        <f>VLOOKUP(E1518, Sales_Reps!A:C, 3, FALSE)</f>
        <v>West</v>
      </c>
      <c r="O1518">
        <f>VLOOKUP(D1518, Products!A:D, 4, FALSE)</f>
        <v>302</v>
      </c>
      <c r="P1518">
        <f>IFERROR(VLOOKUP(C1518, Customers!A:C, 3, FALSE), 0)</f>
        <v>53</v>
      </c>
      <c r="Q1518">
        <f t="shared" si="23"/>
        <v>0.35744680851063831</v>
      </c>
    </row>
    <row r="1519" spans="1:17" x14ac:dyDescent="0.3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  <c r="L1519" t="str">
        <f>VLOOKUP(D1519, Products!A:C, 3, FALSE)</f>
        <v>Electronics</v>
      </c>
      <c r="M1519" t="str">
        <f>IFERROR(VLOOKUP(C1519, Customers!A:E, 5, FALSE), "Unknown")</f>
        <v>Retail</v>
      </c>
      <c r="N1519" t="str">
        <f>VLOOKUP(E1519, Sales_Reps!A:C, 3, FALSE)</f>
        <v>East</v>
      </c>
      <c r="O1519">
        <f>VLOOKUP(D1519, Products!A:D, 4, FALSE)</f>
        <v>2865</v>
      </c>
      <c r="P1519">
        <f>IFERROR(VLOOKUP(C1519, Customers!A:C, 3, FALSE), 0)</f>
        <v>25</v>
      </c>
      <c r="Q1519">
        <f t="shared" si="23"/>
        <v>0.27833753148614609</v>
      </c>
    </row>
    <row r="1520" spans="1:17" x14ac:dyDescent="0.3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  <c r="L1520" t="str">
        <f>VLOOKUP(D1520, Products!A:C, 3, FALSE)</f>
        <v>Beauty</v>
      </c>
      <c r="M1520" t="str">
        <f>IFERROR(VLOOKUP(C1520, Customers!A:E, 5, FALSE), "Unknown")</f>
        <v>Retail</v>
      </c>
      <c r="N1520" t="str">
        <f>VLOOKUP(E1520, Sales_Reps!A:C, 3, FALSE)</f>
        <v>South</v>
      </c>
      <c r="O1520">
        <f>VLOOKUP(D1520, Products!A:D, 4, FALSE)</f>
        <v>1222</v>
      </c>
      <c r="P1520">
        <f>IFERROR(VLOOKUP(C1520, Customers!A:C, 3, FALSE), 0)</f>
        <v>29</v>
      </c>
      <c r="Q1520">
        <f t="shared" si="23"/>
        <v>0.2593939393939394</v>
      </c>
    </row>
    <row r="1521" spans="1:17" x14ac:dyDescent="0.3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  <c r="L1521" t="str">
        <f>VLOOKUP(D1521, Products!A:C, 3, FALSE)</f>
        <v>Beauty</v>
      </c>
      <c r="M1521" t="str">
        <f>IFERROR(VLOOKUP(C1521, Customers!A:E, 5, FALSE), "Unknown")</f>
        <v>Retail</v>
      </c>
      <c r="N1521" t="str">
        <f>VLOOKUP(E1521, Sales_Reps!A:C, 3, FALSE)</f>
        <v>North</v>
      </c>
      <c r="O1521">
        <f>VLOOKUP(D1521, Products!A:D, 4, FALSE)</f>
        <v>1728</v>
      </c>
      <c r="P1521">
        <f>IFERROR(VLOOKUP(C1521, Customers!A:C, 3, FALSE), 0)</f>
        <v>31</v>
      </c>
      <c r="Q1521">
        <f t="shared" si="23"/>
        <v>0.48417910447761192</v>
      </c>
    </row>
    <row r="1522" spans="1:17" x14ac:dyDescent="0.3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  <c r="L1522" t="str">
        <f>VLOOKUP(D1522, Products!A:C, 3, FALSE)</f>
        <v>Electronics</v>
      </c>
      <c r="M1522" t="str">
        <f>IFERROR(VLOOKUP(C1522, Customers!A:E, 5, FALSE), "Unknown")</f>
        <v>Corporate</v>
      </c>
      <c r="N1522" t="str">
        <f>VLOOKUP(E1522, Sales_Reps!A:C, 3, FALSE)</f>
        <v>East</v>
      </c>
      <c r="O1522">
        <f>VLOOKUP(D1522, Products!A:D, 4, FALSE)</f>
        <v>2865</v>
      </c>
      <c r="P1522">
        <f>IFERROR(VLOOKUP(C1522, Customers!A:C, 3, FALSE), 0)</f>
        <v>55</v>
      </c>
      <c r="Q1522">
        <f t="shared" si="23"/>
        <v>0.27833753148614609</v>
      </c>
    </row>
    <row r="1523" spans="1:17" x14ac:dyDescent="0.3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  <c r="L1523" t="str">
        <f>VLOOKUP(D1523, Products!A:C, 3, FALSE)</f>
        <v>Grocery</v>
      </c>
      <c r="M1523" t="str">
        <f>IFERROR(VLOOKUP(C1523, Customers!A:E, 5, FALSE), "Unknown")</f>
        <v>Retail</v>
      </c>
      <c r="N1523" t="str">
        <f>VLOOKUP(E1523, Sales_Reps!A:C, 3, FALSE)</f>
        <v>East</v>
      </c>
      <c r="O1523">
        <f>VLOOKUP(D1523, Products!A:D, 4, FALSE)</f>
        <v>2436</v>
      </c>
      <c r="P1523">
        <f>IFERROR(VLOOKUP(C1523, Customers!A:C, 3, FALSE), 0)</f>
        <v>36</v>
      </c>
      <c r="Q1523">
        <f t="shared" si="23"/>
        <v>0.35555555555555557</v>
      </c>
    </row>
    <row r="1524" spans="1:17" x14ac:dyDescent="0.3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  <c r="L1524" t="str">
        <f>VLOOKUP(D1524, Products!A:C, 3, FALSE)</f>
        <v>Apparel</v>
      </c>
      <c r="M1524" t="str">
        <f>IFERROR(VLOOKUP(C1524, Customers!A:E, 5, FALSE), "Unknown")</f>
        <v>Retail</v>
      </c>
      <c r="N1524" t="str">
        <f>VLOOKUP(E1524, Sales_Reps!A:C, 3, FALSE)</f>
        <v>South</v>
      </c>
      <c r="O1524">
        <f>VLOOKUP(D1524, Products!A:D, 4, FALSE)</f>
        <v>391</v>
      </c>
      <c r="P1524">
        <f>IFERROR(VLOOKUP(C1524, Customers!A:C, 3, FALSE), 0)</f>
        <v>49</v>
      </c>
      <c r="Q1524">
        <f t="shared" si="23"/>
        <v>0.52317073170731709</v>
      </c>
    </row>
    <row r="1525" spans="1:17" x14ac:dyDescent="0.3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  <c r="L1525" t="str">
        <f>VLOOKUP(D1525, Products!A:C, 3, FALSE)</f>
        <v>Beauty</v>
      </c>
      <c r="M1525" t="str">
        <f>IFERROR(VLOOKUP(C1525, Customers!A:E, 5, FALSE), "Unknown")</f>
        <v>Retail</v>
      </c>
      <c r="N1525" t="str">
        <f>VLOOKUP(E1525, Sales_Reps!A:C, 3, FALSE)</f>
        <v>East</v>
      </c>
      <c r="O1525">
        <f>VLOOKUP(D1525, Products!A:D, 4, FALSE)</f>
        <v>1222</v>
      </c>
      <c r="P1525">
        <f>IFERROR(VLOOKUP(C1525, Customers!A:C, 3, FALSE), 0)</f>
        <v>56</v>
      </c>
      <c r="Q1525">
        <f t="shared" si="23"/>
        <v>0.2593939393939394</v>
      </c>
    </row>
    <row r="1526" spans="1:17" x14ac:dyDescent="0.3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  <c r="L1526" t="str">
        <f>VLOOKUP(D1526, Products!A:C, 3, FALSE)</f>
        <v>Grocery</v>
      </c>
      <c r="M1526" t="str">
        <f>IFERROR(VLOOKUP(C1526, Customers!A:E, 5, FALSE), "Unknown")</f>
        <v>Retail</v>
      </c>
      <c r="N1526" t="str">
        <f>VLOOKUP(E1526, Sales_Reps!A:C, 3, FALSE)</f>
        <v>East</v>
      </c>
      <c r="O1526">
        <f>VLOOKUP(D1526, Products!A:D, 4, FALSE)</f>
        <v>2436</v>
      </c>
      <c r="P1526">
        <f>IFERROR(VLOOKUP(C1526, Customers!A:C, 3, FALSE), 0)</f>
        <v>25</v>
      </c>
      <c r="Q1526">
        <f t="shared" si="23"/>
        <v>0.35555555555555557</v>
      </c>
    </row>
    <row r="1527" spans="1:17" x14ac:dyDescent="0.3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  <c r="L1527" t="str">
        <f>VLOOKUP(D1527, Products!A:C, 3, FALSE)</f>
        <v>Grocery</v>
      </c>
      <c r="M1527" t="str">
        <f>IFERROR(VLOOKUP(C1527, Customers!A:E, 5, FALSE), "Unknown")</f>
        <v>Retail</v>
      </c>
      <c r="N1527" t="str">
        <f>VLOOKUP(E1527, Sales_Reps!A:C, 3, FALSE)</f>
        <v>West</v>
      </c>
      <c r="O1527">
        <f>VLOOKUP(D1527, Products!A:D, 4, FALSE)</f>
        <v>1010</v>
      </c>
      <c r="P1527">
        <f>IFERROR(VLOOKUP(C1527, Customers!A:C, 3, FALSE), 0)</f>
        <v>41</v>
      </c>
      <c r="Q1527">
        <f t="shared" si="23"/>
        <v>0.54298642533936647</v>
      </c>
    </row>
    <row r="1528" spans="1:17" x14ac:dyDescent="0.3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  <c r="L1528" t="str">
        <f>VLOOKUP(D1528, Products!A:C, 3, FALSE)</f>
        <v>Sports</v>
      </c>
      <c r="M1528" t="str">
        <f>IFERROR(VLOOKUP(C1528, Customers!A:E, 5, FALSE), "Unknown")</f>
        <v>Retail</v>
      </c>
      <c r="N1528" t="str">
        <f>VLOOKUP(E1528, Sales_Reps!A:C, 3, FALSE)</f>
        <v>South</v>
      </c>
      <c r="O1528">
        <f>VLOOKUP(D1528, Products!A:D, 4, FALSE)</f>
        <v>2827</v>
      </c>
      <c r="P1528">
        <f>IFERROR(VLOOKUP(C1528, Customers!A:C, 3, FALSE), 0)</f>
        <v>27</v>
      </c>
      <c r="Q1528">
        <f t="shared" si="23"/>
        <v>0.5926512968299712</v>
      </c>
    </row>
    <row r="1529" spans="1:17" x14ac:dyDescent="0.3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  <c r="L1529" t="str">
        <f>VLOOKUP(D1529, Products!A:C, 3, FALSE)</f>
        <v>Beauty</v>
      </c>
      <c r="M1529" t="str">
        <f>IFERROR(VLOOKUP(C1529, Customers!A:E, 5, FALSE), "Unknown")</f>
        <v>SMB</v>
      </c>
      <c r="N1529" t="str">
        <f>VLOOKUP(E1529, Sales_Reps!A:C, 3, FALSE)</f>
        <v>North</v>
      </c>
      <c r="O1529">
        <f>VLOOKUP(D1529, Products!A:D, 4, FALSE)</f>
        <v>1219</v>
      </c>
      <c r="P1529">
        <f>IFERROR(VLOOKUP(C1529, Customers!A:C, 3, FALSE), 0)</f>
        <v>62</v>
      </c>
      <c r="Q1529">
        <f t="shared" si="23"/>
        <v>0.46768558951965067</v>
      </c>
    </row>
    <row r="1530" spans="1:17" x14ac:dyDescent="0.3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  <c r="L1530" t="str">
        <f>VLOOKUP(D1530, Products!A:C, 3, FALSE)</f>
        <v>Home</v>
      </c>
      <c r="M1530" t="str">
        <f>IFERROR(VLOOKUP(C1530, Customers!A:E, 5, FALSE), "Unknown")</f>
        <v>Retail</v>
      </c>
      <c r="N1530" t="str">
        <f>VLOOKUP(E1530, Sales_Reps!A:C, 3, FALSE)</f>
        <v>West</v>
      </c>
      <c r="O1530">
        <f>VLOOKUP(D1530, Products!A:D, 4, FALSE)</f>
        <v>1143</v>
      </c>
      <c r="P1530">
        <f>IFERROR(VLOOKUP(C1530, Customers!A:C, 3, FALSE), 0)</f>
        <v>26</v>
      </c>
      <c r="Q1530">
        <f t="shared" si="23"/>
        <v>0.43694581280788175</v>
      </c>
    </row>
    <row r="1531" spans="1:17" x14ac:dyDescent="0.3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  <c r="L1531" t="str">
        <f>VLOOKUP(D1531, Products!A:C, 3, FALSE)</f>
        <v>Electronics</v>
      </c>
      <c r="M1531" t="str">
        <f>IFERROR(VLOOKUP(C1531, Customers!A:E, 5, FALSE), "Unknown")</f>
        <v>SMB</v>
      </c>
      <c r="N1531" t="str">
        <f>VLOOKUP(E1531, Sales_Reps!A:C, 3, FALSE)</f>
        <v>West</v>
      </c>
      <c r="O1531">
        <f>VLOOKUP(D1531, Products!A:D, 4, FALSE)</f>
        <v>2865</v>
      </c>
      <c r="P1531">
        <f>IFERROR(VLOOKUP(C1531, Customers!A:C, 3, FALSE), 0)</f>
        <v>30</v>
      </c>
      <c r="Q1531">
        <f t="shared" si="23"/>
        <v>0.27833753148614609</v>
      </c>
    </row>
    <row r="1532" spans="1:17" x14ac:dyDescent="0.3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  <c r="L1532" t="str">
        <f>VLOOKUP(D1532, Products!A:C, 3, FALSE)</f>
        <v>Apparel</v>
      </c>
      <c r="M1532" t="str">
        <f>IFERROR(VLOOKUP(C1532, Customers!A:E, 5, FALSE), "Unknown")</f>
        <v>Corporate</v>
      </c>
      <c r="N1532" t="str">
        <f>VLOOKUP(E1532, Sales_Reps!A:C, 3, FALSE)</f>
        <v>South</v>
      </c>
      <c r="O1532">
        <f>VLOOKUP(D1532, Products!A:D, 4, FALSE)</f>
        <v>391</v>
      </c>
      <c r="P1532">
        <f>IFERROR(VLOOKUP(C1532, Customers!A:C, 3, FALSE), 0)</f>
        <v>51</v>
      </c>
      <c r="Q1532">
        <f t="shared" si="23"/>
        <v>0.52317073170731709</v>
      </c>
    </row>
    <row r="1533" spans="1:17" x14ac:dyDescent="0.3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  <c r="L1533" t="str">
        <f>VLOOKUP(D1533, Products!A:C, 3, FALSE)</f>
        <v>Electronics</v>
      </c>
      <c r="M1533" t="str">
        <f>IFERROR(VLOOKUP(C1533, Customers!A:E, 5, FALSE), "Unknown")</f>
        <v>Retail</v>
      </c>
      <c r="N1533" t="str">
        <f>VLOOKUP(E1533, Sales_Reps!A:C, 3, FALSE)</f>
        <v>West</v>
      </c>
      <c r="O1533">
        <f>VLOOKUP(D1533, Products!A:D, 4, FALSE)</f>
        <v>1559</v>
      </c>
      <c r="P1533">
        <f>IFERROR(VLOOKUP(C1533, Customers!A:C, 3, FALSE), 0)</f>
        <v>31</v>
      </c>
      <c r="Q1533">
        <f t="shared" si="23"/>
        <v>0.59715762273901807</v>
      </c>
    </row>
    <row r="1534" spans="1:17" x14ac:dyDescent="0.3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  <c r="L1534" t="str">
        <f>VLOOKUP(D1534, Products!A:C, 3, FALSE)</f>
        <v>Grocery</v>
      </c>
      <c r="M1534" t="str">
        <f>IFERROR(VLOOKUP(C1534, Customers!A:E, 5, FALSE), "Unknown")</f>
        <v>Retail</v>
      </c>
      <c r="N1534" t="str">
        <f>VLOOKUP(E1534, Sales_Reps!A:C, 3, FALSE)</f>
        <v>East</v>
      </c>
      <c r="O1534">
        <f>VLOOKUP(D1534, Products!A:D, 4, FALSE)</f>
        <v>434</v>
      </c>
      <c r="P1534">
        <f>IFERROR(VLOOKUP(C1534, Customers!A:C, 3, FALSE), 0)</f>
        <v>44</v>
      </c>
      <c r="Q1534">
        <f t="shared" si="23"/>
        <v>0.5525773195876289</v>
      </c>
    </row>
    <row r="1535" spans="1:17" x14ac:dyDescent="0.3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  <c r="L1535" t="str">
        <f>VLOOKUP(D1535, Products!A:C, 3, FALSE)</f>
        <v>Beauty</v>
      </c>
      <c r="M1535" t="str">
        <f>IFERROR(VLOOKUP(C1535, Customers!A:E, 5, FALSE), "Unknown")</f>
        <v>SMB</v>
      </c>
      <c r="N1535" t="str">
        <f>VLOOKUP(E1535, Sales_Reps!A:C, 3, FALSE)</f>
        <v>West</v>
      </c>
      <c r="O1535">
        <f>VLOOKUP(D1535, Products!A:D, 4, FALSE)</f>
        <v>2768</v>
      </c>
      <c r="P1535">
        <f>IFERROR(VLOOKUP(C1535, Customers!A:C, 3, FALSE), 0)</f>
        <v>43</v>
      </c>
      <c r="Q1535">
        <f t="shared" si="23"/>
        <v>0.43278688524590164</v>
      </c>
    </row>
    <row r="1536" spans="1:17" x14ac:dyDescent="0.3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  <c r="L1536" t="str">
        <f>VLOOKUP(D1536, Products!A:C, 3, FALSE)</f>
        <v>Grocery</v>
      </c>
      <c r="M1536" t="str">
        <f>IFERROR(VLOOKUP(C1536, Customers!A:E, 5, FALSE), "Unknown")</f>
        <v>Corporate</v>
      </c>
      <c r="N1536" t="str">
        <f>VLOOKUP(E1536, Sales_Reps!A:C, 3, FALSE)</f>
        <v>East</v>
      </c>
      <c r="O1536">
        <f>VLOOKUP(D1536, Products!A:D, 4, FALSE)</f>
        <v>1412</v>
      </c>
      <c r="P1536">
        <f>IFERROR(VLOOKUP(C1536, Customers!A:C, 3, FALSE), 0)</f>
        <v>41</v>
      </c>
      <c r="Q1536">
        <f t="shared" si="23"/>
        <v>0.37797356828193834</v>
      </c>
    </row>
    <row r="1537" spans="1:17" x14ac:dyDescent="0.3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  <c r="L1537" t="str">
        <f>VLOOKUP(D1537, Products!A:C, 3, FALSE)</f>
        <v>Beauty</v>
      </c>
      <c r="M1537" t="str">
        <f>IFERROR(VLOOKUP(C1537, Customers!A:E, 5, FALSE), "Unknown")</f>
        <v>SMB</v>
      </c>
      <c r="N1537" t="str">
        <f>VLOOKUP(E1537, Sales_Reps!A:C, 3, FALSE)</f>
        <v>West</v>
      </c>
      <c r="O1537">
        <f>VLOOKUP(D1537, Products!A:D, 4, FALSE)</f>
        <v>2420</v>
      </c>
      <c r="P1537">
        <f>IFERROR(VLOOKUP(C1537, Customers!A:C, 3, FALSE), 0)</f>
        <v>46</v>
      </c>
      <c r="Q1537">
        <f t="shared" si="23"/>
        <v>0.29855072463768118</v>
      </c>
    </row>
    <row r="1538" spans="1:17" x14ac:dyDescent="0.3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  <c r="L1538" t="str">
        <f>VLOOKUP(D1538, Products!A:C, 3, FALSE)</f>
        <v>Grocery</v>
      </c>
      <c r="M1538" t="str">
        <f>IFERROR(VLOOKUP(C1538, Customers!A:E, 5, FALSE), "Unknown")</f>
        <v>SMB</v>
      </c>
      <c r="N1538" t="str">
        <f>VLOOKUP(E1538, Sales_Reps!A:C, 3, FALSE)</f>
        <v>South</v>
      </c>
      <c r="O1538">
        <f>VLOOKUP(D1538, Products!A:D, 4, FALSE)</f>
        <v>1412</v>
      </c>
      <c r="P1538">
        <f>IFERROR(VLOOKUP(C1538, Customers!A:C, 3, FALSE), 0)</f>
        <v>43</v>
      </c>
      <c r="Q1538">
        <f t="shared" si="23"/>
        <v>0.37797356828193834</v>
      </c>
    </row>
    <row r="1539" spans="1:17" x14ac:dyDescent="0.3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  <c r="L1539" t="str">
        <f>VLOOKUP(D1539, Products!A:C, 3, FALSE)</f>
        <v>Grocery</v>
      </c>
      <c r="M1539" t="str">
        <f>IFERROR(VLOOKUP(C1539, Customers!A:E, 5, FALSE), "Unknown")</f>
        <v>Retail</v>
      </c>
      <c r="N1539" t="str">
        <f>VLOOKUP(E1539, Sales_Reps!A:C, 3, FALSE)</f>
        <v>West</v>
      </c>
      <c r="O1539">
        <f>VLOOKUP(D1539, Products!A:D, 4, FALSE)</f>
        <v>1010</v>
      </c>
      <c r="P1539">
        <f>IFERROR(VLOOKUP(C1539, Customers!A:C, 3, FALSE), 0)</f>
        <v>28</v>
      </c>
      <c r="Q1539">
        <f t="shared" ref="Q1539:Q1602" si="24">(G1539 - O1539) / G1539</f>
        <v>0.54298642533936647</v>
      </c>
    </row>
    <row r="1540" spans="1:17" x14ac:dyDescent="0.3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  <c r="L1540" t="str">
        <f>VLOOKUP(D1540, Products!A:C, 3, FALSE)</f>
        <v>Home</v>
      </c>
      <c r="M1540" t="str">
        <f>IFERROR(VLOOKUP(C1540, Customers!A:E, 5, FALSE), "Unknown")</f>
        <v>SMB</v>
      </c>
      <c r="N1540" t="str">
        <f>VLOOKUP(E1540, Sales_Reps!A:C, 3, FALSE)</f>
        <v>South</v>
      </c>
      <c r="O1540">
        <f>VLOOKUP(D1540, Products!A:D, 4, FALSE)</f>
        <v>1143</v>
      </c>
      <c r="P1540">
        <f>IFERROR(VLOOKUP(C1540, Customers!A:C, 3, FALSE), 0)</f>
        <v>59</v>
      </c>
      <c r="Q1540">
        <f t="shared" si="24"/>
        <v>0.43694581280788175</v>
      </c>
    </row>
    <row r="1541" spans="1:17" x14ac:dyDescent="0.3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  <c r="L1541" t="str">
        <f>VLOOKUP(D1541, Products!A:C, 3, FALSE)</f>
        <v>Beauty</v>
      </c>
      <c r="M1541" t="str">
        <f>IFERROR(VLOOKUP(C1541, Customers!A:E, 5, FALSE), "Unknown")</f>
        <v>Retail</v>
      </c>
      <c r="N1541" t="str">
        <f>VLOOKUP(E1541, Sales_Reps!A:C, 3, FALSE)</f>
        <v>East</v>
      </c>
      <c r="O1541">
        <f>VLOOKUP(D1541, Products!A:D, 4, FALSE)</f>
        <v>1728</v>
      </c>
      <c r="P1541">
        <f>IFERROR(VLOOKUP(C1541, Customers!A:C, 3, FALSE), 0)</f>
        <v>44</v>
      </c>
      <c r="Q1541">
        <f t="shared" si="24"/>
        <v>0.48417910447761192</v>
      </c>
    </row>
    <row r="1542" spans="1:17" x14ac:dyDescent="0.3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  <c r="L1542" t="str">
        <f>VLOOKUP(D1542, Products!A:C, 3, FALSE)</f>
        <v>Apparel</v>
      </c>
      <c r="M1542" t="str">
        <f>IFERROR(VLOOKUP(C1542, Customers!A:E, 5, FALSE), "Unknown")</f>
        <v>Retail</v>
      </c>
      <c r="N1542" t="str">
        <f>VLOOKUP(E1542, Sales_Reps!A:C, 3, FALSE)</f>
        <v>North</v>
      </c>
      <c r="O1542">
        <f>VLOOKUP(D1542, Products!A:D, 4, FALSE)</f>
        <v>2611</v>
      </c>
      <c r="P1542">
        <f>IFERROR(VLOOKUP(C1542, Customers!A:C, 3, FALSE), 0)</f>
        <v>35</v>
      </c>
      <c r="Q1542">
        <f t="shared" si="24"/>
        <v>0.28269230769230769</v>
      </c>
    </row>
    <row r="1543" spans="1:17" x14ac:dyDescent="0.3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  <c r="L1543" t="str">
        <f>VLOOKUP(D1543, Products!A:C, 3, FALSE)</f>
        <v>Sports</v>
      </c>
      <c r="M1543" t="str">
        <f>IFERROR(VLOOKUP(C1543, Customers!A:E, 5, FALSE), "Unknown")</f>
        <v>Retail</v>
      </c>
      <c r="N1543" t="str">
        <f>VLOOKUP(E1543, Sales_Reps!A:C, 3, FALSE)</f>
        <v>East</v>
      </c>
      <c r="O1543">
        <f>VLOOKUP(D1543, Products!A:D, 4, FALSE)</f>
        <v>2467</v>
      </c>
      <c r="P1543">
        <f>IFERROR(VLOOKUP(C1543, Customers!A:C, 3, FALSE), 0)</f>
        <v>37</v>
      </c>
      <c r="Q1543">
        <f t="shared" si="24"/>
        <v>0.28492753623188405</v>
      </c>
    </row>
    <row r="1544" spans="1:17" x14ac:dyDescent="0.3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  <c r="L1544" t="str">
        <f>VLOOKUP(D1544, Products!A:C, 3, FALSE)</f>
        <v>Beauty</v>
      </c>
      <c r="M1544" t="str">
        <f>IFERROR(VLOOKUP(C1544, Customers!A:E, 5, FALSE), "Unknown")</f>
        <v>SMB</v>
      </c>
      <c r="N1544" t="str">
        <f>VLOOKUP(E1544, Sales_Reps!A:C, 3, FALSE)</f>
        <v>North</v>
      </c>
      <c r="O1544">
        <f>VLOOKUP(D1544, Products!A:D, 4, FALSE)</f>
        <v>2420</v>
      </c>
      <c r="P1544">
        <f>IFERROR(VLOOKUP(C1544, Customers!A:C, 3, FALSE), 0)</f>
        <v>38</v>
      </c>
      <c r="Q1544">
        <f t="shared" si="24"/>
        <v>0.29855072463768118</v>
      </c>
    </row>
    <row r="1545" spans="1:17" x14ac:dyDescent="0.3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  <c r="L1545" t="str">
        <f>VLOOKUP(D1545, Products!A:C, 3, FALSE)</f>
        <v>Beauty</v>
      </c>
      <c r="M1545" t="str">
        <f>IFERROR(VLOOKUP(C1545, Customers!A:E, 5, FALSE), "Unknown")</f>
        <v>Retail</v>
      </c>
      <c r="N1545" t="str">
        <f>VLOOKUP(E1545, Sales_Reps!A:C, 3, FALSE)</f>
        <v>East</v>
      </c>
      <c r="O1545">
        <f>VLOOKUP(D1545, Products!A:D, 4, FALSE)</f>
        <v>1219</v>
      </c>
      <c r="P1545">
        <f>IFERROR(VLOOKUP(C1545, Customers!A:C, 3, FALSE), 0)</f>
        <v>31</v>
      </c>
      <c r="Q1545">
        <f t="shared" si="24"/>
        <v>0.46768558951965067</v>
      </c>
    </row>
    <row r="1546" spans="1:17" x14ac:dyDescent="0.3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  <c r="L1546" t="str">
        <f>VLOOKUP(D1546, Products!A:C, 3, FALSE)</f>
        <v>Sports</v>
      </c>
      <c r="M1546" t="str">
        <f>IFERROR(VLOOKUP(C1546, Customers!A:E, 5, FALSE), "Unknown")</f>
        <v>Retail</v>
      </c>
      <c r="N1546" t="str">
        <f>VLOOKUP(E1546, Sales_Reps!A:C, 3, FALSE)</f>
        <v>South</v>
      </c>
      <c r="O1546">
        <f>VLOOKUP(D1546, Products!A:D, 4, FALSE)</f>
        <v>705</v>
      </c>
      <c r="P1546">
        <f>IFERROR(VLOOKUP(C1546, Customers!A:C, 3, FALSE), 0)</f>
        <v>65</v>
      </c>
      <c r="Q1546">
        <f t="shared" si="24"/>
        <v>0.265625</v>
      </c>
    </row>
    <row r="1547" spans="1:17" x14ac:dyDescent="0.3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  <c r="L1547" t="str">
        <f>VLOOKUP(D1547, Products!A:C, 3, FALSE)</f>
        <v>Home</v>
      </c>
      <c r="M1547" t="str">
        <f>IFERROR(VLOOKUP(C1547, Customers!A:E, 5, FALSE), "Unknown")</f>
        <v>SMB</v>
      </c>
      <c r="N1547" t="str">
        <f>VLOOKUP(E1547, Sales_Reps!A:C, 3, FALSE)</f>
        <v>West</v>
      </c>
      <c r="O1547">
        <f>VLOOKUP(D1547, Products!A:D, 4, FALSE)</f>
        <v>1850</v>
      </c>
      <c r="P1547">
        <f>IFERROR(VLOOKUP(C1547, Customers!A:C, 3, FALSE), 0)</f>
        <v>26</v>
      </c>
      <c r="Q1547">
        <f t="shared" si="24"/>
        <v>0.59869848156182215</v>
      </c>
    </row>
    <row r="1548" spans="1:17" x14ac:dyDescent="0.3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  <c r="L1548" t="str">
        <f>VLOOKUP(D1548, Products!A:C, 3, FALSE)</f>
        <v>Grocery</v>
      </c>
      <c r="M1548" t="str">
        <f>IFERROR(VLOOKUP(C1548, Customers!A:E, 5, FALSE), "Unknown")</f>
        <v>SMB</v>
      </c>
      <c r="N1548" t="str">
        <f>VLOOKUP(E1548, Sales_Reps!A:C, 3, FALSE)</f>
        <v>North</v>
      </c>
      <c r="O1548">
        <f>VLOOKUP(D1548, Products!A:D, 4, FALSE)</f>
        <v>2214</v>
      </c>
      <c r="P1548">
        <f>IFERROR(VLOOKUP(C1548, Customers!A:C, 3, FALSE), 0)</f>
        <v>53</v>
      </c>
      <c r="Q1548">
        <f t="shared" si="24"/>
        <v>0.39508196721311473</v>
      </c>
    </row>
    <row r="1549" spans="1:17" x14ac:dyDescent="0.3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  <c r="L1549" t="str">
        <f>VLOOKUP(D1549, Products!A:C, 3, FALSE)</f>
        <v>Electronics</v>
      </c>
      <c r="M1549" t="str">
        <f>IFERROR(VLOOKUP(C1549, Customers!A:E, 5, FALSE), "Unknown")</f>
        <v>Corporate</v>
      </c>
      <c r="N1549" t="str">
        <f>VLOOKUP(E1549, Sales_Reps!A:C, 3, FALSE)</f>
        <v>South</v>
      </c>
      <c r="O1549">
        <f>VLOOKUP(D1549, Products!A:D, 4, FALSE)</f>
        <v>1259</v>
      </c>
      <c r="P1549">
        <f>IFERROR(VLOOKUP(C1549, Customers!A:C, 3, FALSE), 0)</f>
        <v>46</v>
      </c>
      <c r="Q1549">
        <f t="shared" si="24"/>
        <v>0.52669172932330832</v>
      </c>
    </row>
    <row r="1550" spans="1:17" x14ac:dyDescent="0.3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  <c r="L1550" t="str">
        <f>VLOOKUP(D1550, Products!A:C, 3, FALSE)</f>
        <v>Beauty</v>
      </c>
      <c r="M1550" t="str">
        <f>IFERROR(VLOOKUP(C1550, Customers!A:E, 5, FALSE), "Unknown")</f>
        <v>SMB</v>
      </c>
      <c r="N1550" t="str">
        <f>VLOOKUP(E1550, Sales_Reps!A:C, 3, FALSE)</f>
        <v>West</v>
      </c>
      <c r="O1550">
        <f>VLOOKUP(D1550, Products!A:D, 4, FALSE)</f>
        <v>647</v>
      </c>
      <c r="P1550">
        <f>IFERROR(VLOOKUP(C1550, Customers!A:C, 3, FALSE), 0)</f>
        <v>38</v>
      </c>
      <c r="Q1550">
        <f t="shared" si="24"/>
        <v>0.57987012987012987</v>
      </c>
    </row>
    <row r="1551" spans="1:17" x14ac:dyDescent="0.3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  <c r="L1551" t="str">
        <f>VLOOKUP(D1551, Products!A:C, 3, FALSE)</f>
        <v>Electronics</v>
      </c>
      <c r="M1551" t="str">
        <f>IFERROR(VLOOKUP(C1551, Customers!A:E, 5, FALSE), "Unknown")</f>
        <v>Retail</v>
      </c>
      <c r="N1551" t="str">
        <f>VLOOKUP(E1551, Sales_Reps!A:C, 3, FALSE)</f>
        <v>North</v>
      </c>
      <c r="O1551">
        <f>VLOOKUP(D1551, Products!A:D, 4, FALSE)</f>
        <v>2865</v>
      </c>
      <c r="P1551">
        <f>IFERROR(VLOOKUP(C1551, Customers!A:C, 3, FALSE), 0)</f>
        <v>59</v>
      </c>
      <c r="Q1551">
        <f t="shared" si="24"/>
        <v>0.27833753148614609</v>
      </c>
    </row>
    <row r="1552" spans="1:17" x14ac:dyDescent="0.3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  <c r="L1552" t="str">
        <f>VLOOKUP(D1552, Products!A:C, 3, FALSE)</f>
        <v>Sports</v>
      </c>
      <c r="M1552" t="str">
        <f>IFERROR(VLOOKUP(C1552, Customers!A:E, 5, FALSE), "Unknown")</f>
        <v>SMB</v>
      </c>
      <c r="N1552" t="str">
        <f>VLOOKUP(E1552, Sales_Reps!A:C, 3, FALSE)</f>
        <v>North</v>
      </c>
      <c r="O1552">
        <f>VLOOKUP(D1552, Products!A:D, 4, FALSE)</f>
        <v>1860</v>
      </c>
      <c r="P1552">
        <f>IFERROR(VLOOKUP(C1552, Customers!A:C, 3, FALSE), 0)</f>
        <v>62</v>
      </c>
      <c r="Q1552">
        <f t="shared" si="24"/>
        <v>0.50793650793650791</v>
      </c>
    </row>
    <row r="1553" spans="1:17" x14ac:dyDescent="0.3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  <c r="L1553" t="str">
        <f>VLOOKUP(D1553, Products!A:C, 3, FALSE)</f>
        <v>Grocery</v>
      </c>
      <c r="M1553" t="str">
        <f>IFERROR(VLOOKUP(C1553, Customers!A:E, 5, FALSE), "Unknown")</f>
        <v>SMB</v>
      </c>
      <c r="N1553" t="str">
        <f>VLOOKUP(E1553, Sales_Reps!A:C, 3, FALSE)</f>
        <v>North</v>
      </c>
      <c r="O1553">
        <f>VLOOKUP(D1553, Products!A:D, 4, FALSE)</f>
        <v>1412</v>
      </c>
      <c r="P1553">
        <f>IFERROR(VLOOKUP(C1553, Customers!A:C, 3, FALSE), 0)</f>
        <v>28</v>
      </c>
      <c r="Q1553">
        <f t="shared" si="24"/>
        <v>0.37797356828193834</v>
      </c>
    </row>
    <row r="1554" spans="1:17" x14ac:dyDescent="0.3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  <c r="L1554" t="str">
        <f>VLOOKUP(D1554, Products!A:C, 3, FALSE)</f>
        <v>Electronics</v>
      </c>
      <c r="M1554" t="str">
        <f>IFERROR(VLOOKUP(C1554, Customers!A:E, 5, FALSE), "Unknown")</f>
        <v>SMB</v>
      </c>
      <c r="N1554" t="str">
        <f>VLOOKUP(E1554, Sales_Reps!A:C, 3, FALSE)</f>
        <v>South</v>
      </c>
      <c r="O1554">
        <f>VLOOKUP(D1554, Products!A:D, 4, FALSE)</f>
        <v>517</v>
      </c>
      <c r="P1554">
        <f>IFERROR(VLOOKUP(C1554, Customers!A:C, 3, FALSE), 0)</f>
        <v>65</v>
      </c>
      <c r="Q1554">
        <f t="shared" si="24"/>
        <v>0.57622950819672136</v>
      </c>
    </row>
    <row r="1555" spans="1:17" x14ac:dyDescent="0.3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  <c r="L1555" t="str">
        <f>VLOOKUP(D1555, Products!A:C, 3, FALSE)</f>
        <v>Beauty</v>
      </c>
      <c r="M1555" t="str">
        <f>IFERROR(VLOOKUP(C1555, Customers!A:E, 5, FALSE), "Unknown")</f>
        <v>Retail</v>
      </c>
      <c r="N1555" t="str">
        <f>VLOOKUP(E1555, Sales_Reps!A:C, 3, FALSE)</f>
        <v>South</v>
      </c>
      <c r="O1555">
        <f>VLOOKUP(D1555, Products!A:D, 4, FALSE)</f>
        <v>1728</v>
      </c>
      <c r="P1555">
        <f>IFERROR(VLOOKUP(C1555, Customers!A:C, 3, FALSE), 0)</f>
        <v>29</v>
      </c>
      <c r="Q1555">
        <f t="shared" si="24"/>
        <v>0.48417910447761192</v>
      </c>
    </row>
    <row r="1556" spans="1:17" x14ac:dyDescent="0.3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  <c r="L1556" t="str">
        <f>VLOOKUP(D1556, Products!A:C, 3, FALSE)</f>
        <v>Beauty</v>
      </c>
      <c r="M1556" t="str">
        <f>IFERROR(VLOOKUP(C1556, Customers!A:E, 5, FALSE), "Unknown")</f>
        <v>Unknown</v>
      </c>
      <c r="N1556" t="str">
        <f>VLOOKUP(E1556, Sales_Reps!A:C, 3, FALSE)</f>
        <v>West</v>
      </c>
      <c r="O1556">
        <f>VLOOKUP(D1556, Products!A:D, 4, FALSE)</f>
        <v>1728</v>
      </c>
      <c r="P1556">
        <f>IFERROR(VLOOKUP(C1556, Customers!A:C, 3, FALSE), 0)</f>
        <v>0</v>
      </c>
      <c r="Q1556">
        <f t="shared" si="24"/>
        <v>0.48417910447761192</v>
      </c>
    </row>
    <row r="1557" spans="1:17" x14ac:dyDescent="0.3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  <c r="L1557" t="str">
        <f>VLOOKUP(D1557, Products!A:C, 3, FALSE)</f>
        <v>Home</v>
      </c>
      <c r="M1557" t="str">
        <f>IFERROR(VLOOKUP(C1557, Customers!A:E, 5, FALSE), "Unknown")</f>
        <v>Retail</v>
      </c>
      <c r="N1557" t="str">
        <f>VLOOKUP(E1557, Sales_Reps!A:C, 3, FALSE)</f>
        <v>South</v>
      </c>
      <c r="O1557">
        <f>VLOOKUP(D1557, Products!A:D, 4, FALSE)</f>
        <v>2549</v>
      </c>
      <c r="P1557">
        <f>IFERROR(VLOOKUP(C1557, Customers!A:C, 3, FALSE), 0)</f>
        <v>51</v>
      </c>
      <c r="Q1557">
        <f t="shared" si="24"/>
        <v>0.53570127504553733</v>
      </c>
    </row>
    <row r="1558" spans="1:17" x14ac:dyDescent="0.3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  <c r="L1558" t="str">
        <f>VLOOKUP(D1558, Products!A:C, 3, FALSE)</f>
        <v>Sports</v>
      </c>
      <c r="M1558" t="str">
        <f>IFERROR(VLOOKUP(C1558, Customers!A:E, 5, FALSE), "Unknown")</f>
        <v>SMB</v>
      </c>
      <c r="N1558" t="str">
        <f>VLOOKUP(E1558, Sales_Reps!A:C, 3, FALSE)</f>
        <v>East</v>
      </c>
      <c r="O1558">
        <f>VLOOKUP(D1558, Products!A:D, 4, FALSE)</f>
        <v>2028</v>
      </c>
      <c r="P1558">
        <f>IFERROR(VLOOKUP(C1558, Customers!A:C, 3, FALSE), 0)</f>
        <v>39</v>
      </c>
      <c r="Q1558">
        <f t="shared" si="24"/>
        <v>0.29090909090909089</v>
      </c>
    </row>
    <row r="1559" spans="1:17" x14ac:dyDescent="0.3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  <c r="L1559" t="str">
        <f>VLOOKUP(D1559, Products!A:C, 3, FALSE)</f>
        <v>Electronics</v>
      </c>
      <c r="M1559" t="str">
        <f>IFERROR(VLOOKUP(C1559, Customers!A:E, 5, FALSE), "Unknown")</f>
        <v>Retail</v>
      </c>
      <c r="N1559" t="str">
        <f>VLOOKUP(E1559, Sales_Reps!A:C, 3, FALSE)</f>
        <v>West</v>
      </c>
      <c r="O1559">
        <f>VLOOKUP(D1559, Products!A:D, 4, FALSE)</f>
        <v>1149</v>
      </c>
      <c r="P1559">
        <f>IFERROR(VLOOKUP(C1559, Customers!A:C, 3, FALSE), 0)</f>
        <v>24</v>
      </c>
      <c r="Q1559">
        <f t="shared" si="24"/>
        <v>0.56477272727272732</v>
      </c>
    </row>
    <row r="1560" spans="1:17" x14ac:dyDescent="0.3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  <c r="L1560" t="str">
        <f>VLOOKUP(D1560, Products!A:C, 3, FALSE)</f>
        <v>Apparel</v>
      </c>
      <c r="M1560" t="str">
        <f>IFERROR(VLOOKUP(C1560, Customers!A:E, 5, FALSE), "Unknown")</f>
        <v>Corporate</v>
      </c>
      <c r="N1560" t="str">
        <f>VLOOKUP(E1560, Sales_Reps!A:C, 3, FALSE)</f>
        <v>West</v>
      </c>
      <c r="O1560">
        <f>VLOOKUP(D1560, Products!A:D, 4, FALSE)</f>
        <v>1748</v>
      </c>
      <c r="P1560">
        <f>IFERROR(VLOOKUP(C1560, Customers!A:C, 3, FALSE), 0)</f>
        <v>34</v>
      </c>
      <c r="Q1560">
        <f t="shared" si="24"/>
        <v>0.49333333333333335</v>
      </c>
    </row>
    <row r="1561" spans="1:17" x14ac:dyDescent="0.3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  <c r="L1561" t="str">
        <f>VLOOKUP(D1561, Products!A:C, 3, FALSE)</f>
        <v>Home</v>
      </c>
      <c r="M1561" t="str">
        <f>IFERROR(VLOOKUP(C1561, Customers!A:E, 5, FALSE), "Unknown")</f>
        <v>SMB</v>
      </c>
      <c r="N1561" t="str">
        <f>VLOOKUP(E1561, Sales_Reps!A:C, 3, FALSE)</f>
        <v>West</v>
      </c>
      <c r="O1561">
        <f>VLOOKUP(D1561, Products!A:D, 4, FALSE)</f>
        <v>288</v>
      </c>
      <c r="P1561">
        <f>IFERROR(VLOOKUP(C1561, Customers!A:C, 3, FALSE), 0)</f>
        <v>38</v>
      </c>
      <c r="Q1561">
        <f t="shared" si="24"/>
        <v>0.22162162162162163</v>
      </c>
    </row>
    <row r="1562" spans="1:17" x14ac:dyDescent="0.3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  <c r="L1562" t="str">
        <f>VLOOKUP(D1562, Products!A:C, 3, FALSE)</f>
        <v>Grocery</v>
      </c>
      <c r="M1562" t="str">
        <f>IFERROR(VLOOKUP(C1562, Customers!A:E, 5, FALSE), "Unknown")</f>
        <v>SMB</v>
      </c>
      <c r="N1562" t="str">
        <f>VLOOKUP(E1562, Sales_Reps!A:C, 3, FALSE)</f>
        <v>West</v>
      </c>
      <c r="O1562">
        <f>VLOOKUP(D1562, Products!A:D, 4, FALSE)</f>
        <v>2911</v>
      </c>
      <c r="P1562">
        <f>IFERROR(VLOOKUP(C1562, Customers!A:C, 3, FALSE), 0)</f>
        <v>22</v>
      </c>
      <c r="Q1562">
        <f t="shared" si="24"/>
        <v>0.28300492610837441</v>
      </c>
    </row>
    <row r="1563" spans="1:17" x14ac:dyDescent="0.3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  <c r="L1563" t="str">
        <f>VLOOKUP(D1563, Products!A:C, 3, FALSE)</f>
        <v>Electronics</v>
      </c>
      <c r="M1563" t="str">
        <f>IFERROR(VLOOKUP(C1563, Customers!A:E, 5, FALSE), "Unknown")</f>
        <v>Corporate</v>
      </c>
      <c r="N1563" t="str">
        <f>VLOOKUP(E1563, Sales_Reps!A:C, 3, FALSE)</f>
        <v>West</v>
      </c>
      <c r="O1563">
        <f>VLOOKUP(D1563, Products!A:D, 4, FALSE)</f>
        <v>1559</v>
      </c>
      <c r="P1563">
        <f>IFERROR(VLOOKUP(C1563, Customers!A:C, 3, FALSE), 0)</f>
        <v>55</v>
      </c>
      <c r="Q1563">
        <f t="shared" si="24"/>
        <v>0.59715762273901807</v>
      </c>
    </row>
    <row r="1564" spans="1:17" x14ac:dyDescent="0.3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  <c r="L1564" t="str">
        <f>VLOOKUP(D1564, Products!A:C, 3, FALSE)</f>
        <v>Electronics</v>
      </c>
      <c r="M1564" t="str">
        <f>IFERROR(VLOOKUP(C1564, Customers!A:E, 5, FALSE), "Unknown")</f>
        <v>Corporate</v>
      </c>
      <c r="N1564" t="str">
        <f>VLOOKUP(E1564, Sales_Reps!A:C, 3, FALSE)</f>
        <v>North</v>
      </c>
      <c r="O1564">
        <f>VLOOKUP(D1564, Products!A:D, 4, FALSE)</f>
        <v>2405</v>
      </c>
      <c r="P1564">
        <f>IFERROR(VLOOKUP(C1564, Customers!A:C, 3, FALSE), 0)</f>
        <v>42</v>
      </c>
      <c r="Q1564">
        <f t="shared" si="24"/>
        <v>0.54878048780487809</v>
      </c>
    </row>
    <row r="1565" spans="1:17" x14ac:dyDescent="0.3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  <c r="L1565" t="str">
        <f>VLOOKUP(D1565, Products!A:C, 3, FALSE)</f>
        <v>Home</v>
      </c>
      <c r="M1565" t="str">
        <f>IFERROR(VLOOKUP(C1565, Customers!A:E, 5, FALSE), "Unknown")</f>
        <v>Retail</v>
      </c>
      <c r="N1565" t="str">
        <f>VLOOKUP(E1565, Sales_Reps!A:C, 3, FALSE)</f>
        <v>East</v>
      </c>
      <c r="O1565">
        <f>VLOOKUP(D1565, Products!A:D, 4, FALSE)</f>
        <v>288</v>
      </c>
      <c r="P1565">
        <f>IFERROR(VLOOKUP(C1565, Customers!A:C, 3, FALSE), 0)</f>
        <v>27</v>
      </c>
      <c r="Q1565">
        <f t="shared" si="24"/>
        <v>0.22162162162162163</v>
      </c>
    </row>
    <row r="1566" spans="1:17" x14ac:dyDescent="0.3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  <c r="L1566" t="str">
        <f>VLOOKUP(D1566, Products!A:C, 3, FALSE)</f>
        <v>Electronics</v>
      </c>
      <c r="M1566" t="str">
        <f>IFERROR(VLOOKUP(C1566, Customers!A:E, 5, FALSE), "Unknown")</f>
        <v>Retail</v>
      </c>
      <c r="N1566" t="str">
        <f>VLOOKUP(E1566, Sales_Reps!A:C, 3, FALSE)</f>
        <v>East</v>
      </c>
      <c r="O1566">
        <f>VLOOKUP(D1566, Products!A:D, 4, FALSE)</f>
        <v>128</v>
      </c>
      <c r="P1566">
        <f>IFERROR(VLOOKUP(C1566, Customers!A:C, 3, FALSE), 0)</f>
        <v>61</v>
      </c>
      <c r="Q1566">
        <f t="shared" si="24"/>
        <v>0.57333333333333336</v>
      </c>
    </row>
    <row r="1567" spans="1:17" x14ac:dyDescent="0.3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  <c r="L1567" t="str">
        <f>VLOOKUP(D1567, Products!A:C, 3, FALSE)</f>
        <v>Beauty</v>
      </c>
      <c r="M1567" t="str">
        <f>IFERROR(VLOOKUP(C1567, Customers!A:E, 5, FALSE), "Unknown")</f>
        <v>Retail</v>
      </c>
      <c r="N1567" t="str">
        <f>VLOOKUP(E1567, Sales_Reps!A:C, 3, FALSE)</f>
        <v>South</v>
      </c>
      <c r="O1567">
        <f>VLOOKUP(D1567, Products!A:D, 4, FALSE)</f>
        <v>1728</v>
      </c>
      <c r="P1567">
        <f>IFERROR(VLOOKUP(C1567, Customers!A:C, 3, FALSE), 0)</f>
        <v>53</v>
      </c>
      <c r="Q1567">
        <f t="shared" si="24"/>
        <v>0.48417910447761192</v>
      </c>
    </row>
    <row r="1568" spans="1:17" x14ac:dyDescent="0.3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  <c r="L1568" t="str">
        <f>VLOOKUP(D1568, Products!A:C, 3, FALSE)</f>
        <v>Sports</v>
      </c>
      <c r="M1568" t="str">
        <f>IFERROR(VLOOKUP(C1568, Customers!A:E, 5, FALSE), "Unknown")</f>
        <v>SMB</v>
      </c>
      <c r="N1568" t="str">
        <f>VLOOKUP(E1568, Sales_Reps!A:C, 3, FALSE)</f>
        <v>South</v>
      </c>
      <c r="O1568">
        <f>VLOOKUP(D1568, Products!A:D, 4, FALSE)</f>
        <v>2827</v>
      </c>
      <c r="P1568">
        <f>IFERROR(VLOOKUP(C1568, Customers!A:C, 3, FALSE), 0)</f>
        <v>51</v>
      </c>
      <c r="Q1568">
        <f t="shared" si="24"/>
        <v>0.5926512968299712</v>
      </c>
    </row>
    <row r="1569" spans="1:17" x14ac:dyDescent="0.3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  <c r="L1569" t="str">
        <f>VLOOKUP(D1569, Products!A:C, 3, FALSE)</f>
        <v>Beauty</v>
      </c>
      <c r="M1569" t="str">
        <f>IFERROR(VLOOKUP(C1569, Customers!A:E, 5, FALSE), "Unknown")</f>
        <v>Retail</v>
      </c>
      <c r="N1569" t="str">
        <f>VLOOKUP(E1569, Sales_Reps!A:C, 3, FALSE)</f>
        <v>North</v>
      </c>
      <c r="O1569">
        <f>VLOOKUP(D1569, Products!A:D, 4, FALSE)</f>
        <v>675</v>
      </c>
      <c r="P1569">
        <f>IFERROR(VLOOKUP(C1569, Customers!A:C, 3, FALSE), 0)</f>
        <v>32</v>
      </c>
      <c r="Q1569">
        <f t="shared" si="24"/>
        <v>0.296875</v>
      </c>
    </row>
    <row r="1570" spans="1:17" x14ac:dyDescent="0.3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  <c r="L1570" t="str">
        <f>VLOOKUP(D1570, Products!A:C, 3, FALSE)</f>
        <v>Grocery</v>
      </c>
      <c r="M1570" t="str">
        <f>IFERROR(VLOOKUP(C1570, Customers!A:E, 5, FALSE), "Unknown")</f>
        <v>Retail</v>
      </c>
      <c r="N1570" t="str">
        <f>VLOOKUP(E1570, Sales_Reps!A:C, 3, FALSE)</f>
        <v>East</v>
      </c>
      <c r="O1570">
        <f>VLOOKUP(D1570, Products!A:D, 4, FALSE)</f>
        <v>1435</v>
      </c>
      <c r="P1570">
        <f>IFERROR(VLOOKUP(C1570, Customers!A:C, 3, FALSE), 0)</f>
        <v>38</v>
      </c>
      <c r="Q1570">
        <f t="shared" si="24"/>
        <v>0.48007246376811596</v>
      </c>
    </row>
    <row r="1571" spans="1:17" x14ac:dyDescent="0.3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  <c r="L1571" t="str">
        <f>VLOOKUP(D1571, Products!A:C, 3, FALSE)</f>
        <v>Grocery</v>
      </c>
      <c r="M1571" t="str">
        <f>IFERROR(VLOOKUP(C1571, Customers!A:E, 5, FALSE), "Unknown")</f>
        <v>SMB</v>
      </c>
      <c r="N1571" t="str">
        <f>VLOOKUP(E1571, Sales_Reps!A:C, 3, FALSE)</f>
        <v>West</v>
      </c>
      <c r="O1571">
        <f>VLOOKUP(D1571, Products!A:D, 4, FALSE)</f>
        <v>1203</v>
      </c>
      <c r="P1571">
        <f>IFERROR(VLOOKUP(C1571, Customers!A:C, 3, FALSE), 0)</f>
        <v>64</v>
      </c>
      <c r="Q1571">
        <f t="shared" si="24"/>
        <v>0.47004405286343615</v>
      </c>
    </row>
    <row r="1572" spans="1:17" x14ac:dyDescent="0.3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  <c r="L1572" t="str">
        <f>VLOOKUP(D1572, Products!A:C, 3, FALSE)</f>
        <v>Electronics</v>
      </c>
      <c r="M1572" t="str">
        <f>IFERROR(VLOOKUP(C1572, Customers!A:E, 5, FALSE), "Unknown")</f>
        <v>Retail</v>
      </c>
      <c r="N1572" t="str">
        <f>VLOOKUP(E1572, Sales_Reps!A:C, 3, FALSE)</f>
        <v>East</v>
      </c>
      <c r="O1572">
        <f>VLOOKUP(D1572, Products!A:D, 4, FALSE)</f>
        <v>1052</v>
      </c>
      <c r="P1572">
        <f>IFERROR(VLOOKUP(C1572, Customers!A:C, 3, FALSE), 0)</f>
        <v>22</v>
      </c>
      <c r="Q1572">
        <f t="shared" si="24"/>
        <v>0.5953846153846154</v>
      </c>
    </row>
    <row r="1573" spans="1:17" x14ac:dyDescent="0.3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  <c r="L1573" t="str">
        <f>VLOOKUP(D1573, Products!A:C, 3, FALSE)</f>
        <v>Electronics</v>
      </c>
      <c r="M1573" t="str">
        <f>IFERROR(VLOOKUP(C1573, Customers!A:E, 5, FALSE), "Unknown")</f>
        <v>SMB</v>
      </c>
      <c r="N1573" t="str">
        <f>VLOOKUP(E1573, Sales_Reps!A:C, 3, FALSE)</f>
        <v>West</v>
      </c>
      <c r="O1573">
        <f>VLOOKUP(D1573, Products!A:D, 4, FALSE)</f>
        <v>1665</v>
      </c>
      <c r="P1573">
        <f>IFERROR(VLOOKUP(C1573, Customers!A:C, 3, FALSE), 0)</f>
        <v>36</v>
      </c>
      <c r="Q1573">
        <f t="shared" si="24"/>
        <v>0.53361344537815125</v>
      </c>
    </row>
    <row r="1574" spans="1:17" x14ac:dyDescent="0.3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  <c r="L1574" t="str">
        <f>VLOOKUP(D1574, Products!A:C, 3, FALSE)</f>
        <v>Home</v>
      </c>
      <c r="M1574" t="str">
        <f>IFERROR(VLOOKUP(C1574, Customers!A:E, 5, FALSE), "Unknown")</f>
        <v>Retail</v>
      </c>
      <c r="N1574" t="str">
        <f>VLOOKUP(E1574, Sales_Reps!A:C, 3, FALSE)</f>
        <v>South</v>
      </c>
      <c r="O1574">
        <f>VLOOKUP(D1574, Products!A:D, 4, FALSE)</f>
        <v>2459</v>
      </c>
      <c r="P1574">
        <f>IFERROR(VLOOKUP(C1574, Customers!A:C, 3, FALSE), 0)</f>
        <v>65</v>
      </c>
      <c r="Q1574">
        <f t="shared" si="24"/>
        <v>0.51594488188976373</v>
      </c>
    </row>
    <row r="1575" spans="1:17" x14ac:dyDescent="0.3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  <c r="L1575" t="str">
        <f>VLOOKUP(D1575, Products!A:C, 3, FALSE)</f>
        <v>Beauty</v>
      </c>
      <c r="M1575" t="str">
        <f>IFERROR(VLOOKUP(C1575, Customers!A:E, 5, FALSE), "Unknown")</f>
        <v>Retail</v>
      </c>
      <c r="N1575" t="str">
        <f>VLOOKUP(E1575, Sales_Reps!A:C, 3, FALSE)</f>
        <v>South</v>
      </c>
      <c r="O1575">
        <f>VLOOKUP(D1575, Products!A:D, 4, FALSE)</f>
        <v>675</v>
      </c>
      <c r="P1575">
        <f>IFERROR(VLOOKUP(C1575, Customers!A:C, 3, FALSE), 0)</f>
        <v>40</v>
      </c>
      <c r="Q1575">
        <f t="shared" si="24"/>
        <v>0.296875</v>
      </c>
    </row>
    <row r="1576" spans="1:17" x14ac:dyDescent="0.3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  <c r="L1576" t="str">
        <f>VLOOKUP(D1576, Products!A:C, 3, FALSE)</f>
        <v>Sports</v>
      </c>
      <c r="M1576" t="str">
        <f>IFERROR(VLOOKUP(C1576, Customers!A:E, 5, FALSE), "Unknown")</f>
        <v>Corporate</v>
      </c>
      <c r="N1576" t="str">
        <f>VLOOKUP(E1576, Sales_Reps!A:C, 3, FALSE)</f>
        <v>South</v>
      </c>
      <c r="O1576">
        <f>VLOOKUP(D1576, Products!A:D, 4, FALSE)</f>
        <v>302</v>
      </c>
      <c r="P1576">
        <f>IFERROR(VLOOKUP(C1576, Customers!A:C, 3, FALSE), 0)</f>
        <v>62</v>
      </c>
      <c r="Q1576">
        <f t="shared" si="24"/>
        <v>0.35744680851063831</v>
      </c>
    </row>
    <row r="1577" spans="1:17" x14ac:dyDescent="0.3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  <c r="L1577" t="str">
        <f>VLOOKUP(D1577, Products!A:C, 3, FALSE)</f>
        <v>Electronics</v>
      </c>
      <c r="M1577" t="str">
        <f>IFERROR(VLOOKUP(C1577, Customers!A:E, 5, FALSE), "Unknown")</f>
        <v>Retail</v>
      </c>
      <c r="N1577" t="str">
        <f>VLOOKUP(E1577, Sales_Reps!A:C, 3, FALSE)</f>
        <v>West</v>
      </c>
      <c r="O1577">
        <f>VLOOKUP(D1577, Products!A:D, 4, FALSE)</f>
        <v>517</v>
      </c>
      <c r="P1577">
        <f>IFERROR(VLOOKUP(C1577, Customers!A:C, 3, FALSE), 0)</f>
        <v>53</v>
      </c>
      <c r="Q1577">
        <f t="shared" si="24"/>
        <v>0.57622950819672136</v>
      </c>
    </row>
    <row r="1578" spans="1:17" x14ac:dyDescent="0.3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  <c r="L1578" t="str">
        <f>VLOOKUP(D1578, Products!A:C, 3, FALSE)</f>
        <v>Sports</v>
      </c>
      <c r="M1578" t="str">
        <f>IFERROR(VLOOKUP(C1578, Customers!A:E, 5, FALSE), "Unknown")</f>
        <v>Retail</v>
      </c>
      <c r="N1578" t="str">
        <f>VLOOKUP(E1578, Sales_Reps!A:C, 3, FALSE)</f>
        <v>North</v>
      </c>
      <c r="O1578">
        <f>VLOOKUP(D1578, Products!A:D, 4, FALSE)</f>
        <v>516</v>
      </c>
      <c r="P1578">
        <f>IFERROR(VLOOKUP(C1578, Customers!A:C, 3, FALSE), 0)</f>
        <v>44</v>
      </c>
      <c r="Q1578">
        <f t="shared" si="24"/>
        <v>0.4891089108910891</v>
      </c>
    </row>
    <row r="1579" spans="1:17" x14ac:dyDescent="0.3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  <c r="L1579" t="str">
        <f>VLOOKUP(D1579, Products!A:C, 3, FALSE)</f>
        <v>Grocery</v>
      </c>
      <c r="M1579" t="str">
        <f>IFERROR(VLOOKUP(C1579, Customers!A:E, 5, FALSE), "Unknown")</f>
        <v>SMB</v>
      </c>
      <c r="N1579" t="str">
        <f>VLOOKUP(E1579, Sales_Reps!A:C, 3, FALSE)</f>
        <v>North</v>
      </c>
      <c r="O1579">
        <f>VLOOKUP(D1579, Products!A:D, 4, FALSE)</f>
        <v>2214</v>
      </c>
      <c r="P1579">
        <f>IFERROR(VLOOKUP(C1579, Customers!A:C, 3, FALSE), 0)</f>
        <v>65</v>
      </c>
      <c r="Q1579">
        <f t="shared" si="24"/>
        <v>0.39508196721311473</v>
      </c>
    </row>
    <row r="1580" spans="1:17" x14ac:dyDescent="0.3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  <c r="L1580" t="str">
        <f>VLOOKUP(D1580, Products!A:C, 3, FALSE)</f>
        <v>Home</v>
      </c>
      <c r="M1580" t="str">
        <f>IFERROR(VLOOKUP(C1580, Customers!A:E, 5, FALSE), "Unknown")</f>
        <v>Retail</v>
      </c>
      <c r="N1580" t="str">
        <f>VLOOKUP(E1580, Sales_Reps!A:C, 3, FALSE)</f>
        <v>South</v>
      </c>
      <c r="O1580">
        <f>VLOOKUP(D1580, Products!A:D, 4, FALSE)</f>
        <v>2549</v>
      </c>
      <c r="P1580">
        <f>IFERROR(VLOOKUP(C1580, Customers!A:C, 3, FALSE), 0)</f>
        <v>22</v>
      </c>
      <c r="Q1580">
        <f t="shared" si="24"/>
        <v>0.53570127504553733</v>
      </c>
    </row>
    <row r="1581" spans="1:17" x14ac:dyDescent="0.3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  <c r="L1581" t="str">
        <f>VLOOKUP(D1581, Products!A:C, 3, FALSE)</f>
        <v>Grocery</v>
      </c>
      <c r="M1581" t="str">
        <f>IFERROR(VLOOKUP(C1581, Customers!A:E, 5, FALSE), "Unknown")</f>
        <v>Corporate</v>
      </c>
      <c r="N1581" t="str">
        <f>VLOOKUP(E1581, Sales_Reps!A:C, 3, FALSE)</f>
        <v>North</v>
      </c>
      <c r="O1581">
        <f>VLOOKUP(D1581, Products!A:D, 4, FALSE)</f>
        <v>1412</v>
      </c>
      <c r="P1581">
        <f>IFERROR(VLOOKUP(C1581, Customers!A:C, 3, FALSE), 0)</f>
        <v>48</v>
      </c>
      <c r="Q1581">
        <f t="shared" si="24"/>
        <v>0.37797356828193834</v>
      </c>
    </row>
    <row r="1582" spans="1:17" x14ac:dyDescent="0.3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  <c r="L1582" t="str">
        <f>VLOOKUP(D1582, Products!A:C, 3, FALSE)</f>
        <v>Grocery</v>
      </c>
      <c r="M1582" t="str">
        <f>IFERROR(VLOOKUP(C1582, Customers!A:E, 5, FALSE), "Unknown")</f>
        <v>Retail</v>
      </c>
      <c r="N1582" t="str">
        <f>VLOOKUP(E1582, Sales_Reps!A:C, 3, FALSE)</f>
        <v>South</v>
      </c>
      <c r="O1582">
        <f>VLOOKUP(D1582, Products!A:D, 4, FALSE)</f>
        <v>1412</v>
      </c>
      <c r="P1582">
        <f>IFERROR(VLOOKUP(C1582, Customers!A:C, 3, FALSE), 0)</f>
        <v>25</v>
      </c>
      <c r="Q1582">
        <f t="shared" si="24"/>
        <v>0.37797356828193834</v>
      </c>
    </row>
    <row r="1583" spans="1:17" x14ac:dyDescent="0.3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  <c r="L1583" t="str">
        <f>VLOOKUP(D1583, Products!A:C, 3, FALSE)</f>
        <v>Electronics</v>
      </c>
      <c r="M1583" t="str">
        <f>IFERROR(VLOOKUP(C1583, Customers!A:E, 5, FALSE), "Unknown")</f>
        <v>SMB</v>
      </c>
      <c r="N1583" t="str">
        <f>VLOOKUP(E1583, Sales_Reps!A:C, 3, FALSE)</f>
        <v>East</v>
      </c>
      <c r="O1583">
        <f>VLOOKUP(D1583, Products!A:D, 4, FALSE)</f>
        <v>1052</v>
      </c>
      <c r="P1583">
        <f>IFERROR(VLOOKUP(C1583, Customers!A:C, 3, FALSE), 0)</f>
        <v>60</v>
      </c>
      <c r="Q1583">
        <f t="shared" si="24"/>
        <v>0.5953846153846154</v>
      </c>
    </row>
    <row r="1584" spans="1:17" x14ac:dyDescent="0.3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  <c r="L1584" t="str">
        <f>VLOOKUP(D1584, Products!A:C, 3, FALSE)</f>
        <v>Electronics</v>
      </c>
      <c r="M1584" t="str">
        <f>IFERROR(VLOOKUP(C1584, Customers!A:E, 5, FALSE), "Unknown")</f>
        <v>Retail</v>
      </c>
      <c r="N1584" t="str">
        <f>VLOOKUP(E1584, Sales_Reps!A:C, 3, FALSE)</f>
        <v>West</v>
      </c>
      <c r="O1584">
        <f>VLOOKUP(D1584, Products!A:D, 4, FALSE)</f>
        <v>1559</v>
      </c>
      <c r="P1584">
        <f>IFERROR(VLOOKUP(C1584, Customers!A:C, 3, FALSE), 0)</f>
        <v>34</v>
      </c>
      <c r="Q1584">
        <f t="shared" si="24"/>
        <v>0.59715762273901807</v>
      </c>
    </row>
    <row r="1585" spans="1:17" x14ac:dyDescent="0.3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  <c r="L1585" t="str">
        <f>VLOOKUP(D1585, Products!A:C, 3, FALSE)</f>
        <v>Electronics</v>
      </c>
      <c r="M1585" t="str">
        <f>IFERROR(VLOOKUP(C1585, Customers!A:E, 5, FALSE), "Unknown")</f>
        <v>SMB</v>
      </c>
      <c r="N1585" t="str">
        <f>VLOOKUP(E1585, Sales_Reps!A:C, 3, FALSE)</f>
        <v>North</v>
      </c>
      <c r="O1585">
        <f>VLOOKUP(D1585, Products!A:D, 4, FALSE)</f>
        <v>2865</v>
      </c>
      <c r="P1585">
        <f>IFERROR(VLOOKUP(C1585, Customers!A:C, 3, FALSE), 0)</f>
        <v>53</v>
      </c>
      <c r="Q1585">
        <f t="shared" si="24"/>
        <v>0.27833753148614609</v>
      </c>
    </row>
    <row r="1586" spans="1:17" x14ac:dyDescent="0.3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  <c r="L1586" t="str">
        <f>VLOOKUP(D1586, Products!A:C, 3, FALSE)</f>
        <v>Beauty</v>
      </c>
      <c r="M1586" t="str">
        <f>IFERROR(VLOOKUP(C1586, Customers!A:E, 5, FALSE), "Unknown")</f>
        <v>Retail</v>
      </c>
      <c r="N1586" t="str">
        <f>VLOOKUP(E1586, Sales_Reps!A:C, 3, FALSE)</f>
        <v>West</v>
      </c>
      <c r="O1586">
        <f>VLOOKUP(D1586, Products!A:D, 4, FALSE)</f>
        <v>675</v>
      </c>
      <c r="P1586">
        <f>IFERROR(VLOOKUP(C1586, Customers!A:C, 3, FALSE), 0)</f>
        <v>28</v>
      </c>
      <c r="Q1586">
        <f t="shared" si="24"/>
        <v>0.296875</v>
      </c>
    </row>
    <row r="1587" spans="1:17" x14ac:dyDescent="0.3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  <c r="L1587" t="str">
        <f>VLOOKUP(D1587, Products!A:C, 3, FALSE)</f>
        <v>Sports</v>
      </c>
      <c r="M1587" t="str">
        <f>IFERROR(VLOOKUP(C1587, Customers!A:E, 5, FALSE), "Unknown")</f>
        <v>Retail</v>
      </c>
      <c r="N1587" t="str">
        <f>VLOOKUP(E1587, Sales_Reps!A:C, 3, FALSE)</f>
        <v>West</v>
      </c>
      <c r="O1587">
        <f>VLOOKUP(D1587, Products!A:D, 4, FALSE)</f>
        <v>2265</v>
      </c>
      <c r="P1587">
        <f>IFERROR(VLOOKUP(C1587, Customers!A:C, 3, FALSE), 0)</f>
        <v>63</v>
      </c>
      <c r="Q1587">
        <f t="shared" si="24"/>
        <v>0.58133086876155271</v>
      </c>
    </row>
    <row r="1588" spans="1:17" x14ac:dyDescent="0.3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  <c r="L1588" t="str">
        <f>VLOOKUP(D1588, Products!A:C, 3, FALSE)</f>
        <v>Apparel</v>
      </c>
      <c r="M1588" t="str">
        <f>IFERROR(VLOOKUP(C1588, Customers!A:E, 5, FALSE), "Unknown")</f>
        <v>Corporate</v>
      </c>
      <c r="N1588" t="str">
        <f>VLOOKUP(E1588, Sales_Reps!A:C, 3, FALSE)</f>
        <v>North</v>
      </c>
      <c r="O1588">
        <f>VLOOKUP(D1588, Products!A:D, 4, FALSE)</f>
        <v>1748</v>
      </c>
      <c r="P1588">
        <f>IFERROR(VLOOKUP(C1588, Customers!A:C, 3, FALSE), 0)</f>
        <v>44</v>
      </c>
      <c r="Q1588">
        <f t="shared" si="24"/>
        <v>0.49333333333333335</v>
      </c>
    </row>
    <row r="1589" spans="1:17" x14ac:dyDescent="0.3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  <c r="L1589" t="str">
        <f>VLOOKUP(D1589, Products!A:C, 3, FALSE)</f>
        <v>Beauty</v>
      </c>
      <c r="M1589" t="str">
        <f>IFERROR(VLOOKUP(C1589, Customers!A:E, 5, FALSE), "Unknown")</f>
        <v>Retail</v>
      </c>
      <c r="N1589" t="str">
        <f>VLOOKUP(E1589, Sales_Reps!A:C, 3, FALSE)</f>
        <v>North</v>
      </c>
      <c r="O1589">
        <f>VLOOKUP(D1589, Products!A:D, 4, FALSE)</f>
        <v>1626</v>
      </c>
      <c r="P1589">
        <f>IFERROR(VLOOKUP(C1589, Customers!A:C, 3, FALSE), 0)</f>
        <v>53</v>
      </c>
      <c r="Q1589">
        <f t="shared" si="24"/>
        <v>0.46158940397350995</v>
      </c>
    </row>
    <row r="1590" spans="1:17" x14ac:dyDescent="0.3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  <c r="L1590" t="str">
        <f>VLOOKUP(D1590, Products!A:C, 3, FALSE)</f>
        <v>Sports</v>
      </c>
      <c r="M1590" t="str">
        <f>IFERROR(VLOOKUP(C1590, Customers!A:E, 5, FALSE), "Unknown")</f>
        <v>SMB</v>
      </c>
      <c r="N1590" t="str">
        <f>VLOOKUP(E1590, Sales_Reps!A:C, 3, FALSE)</f>
        <v>North</v>
      </c>
      <c r="O1590">
        <f>VLOOKUP(D1590, Products!A:D, 4, FALSE)</f>
        <v>147</v>
      </c>
      <c r="P1590">
        <f>IFERROR(VLOOKUP(C1590, Customers!A:C, 3, FALSE), 0)</f>
        <v>54</v>
      </c>
      <c r="Q1590">
        <f t="shared" si="24"/>
        <v>0.22631578947368422</v>
      </c>
    </row>
    <row r="1591" spans="1:17" x14ac:dyDescent="0.3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  <c r="L1591" t="str">
        <f>VLOOKUP(D1591, Products!A:C, 3, FALSE)</f>
        <v>Home</v>
      </c>
      <c r="M1591" t="str">
        <f>IFERROR(VLOOKUP(C1591, Customers!A:E, 5, FALSE), "Unknown")</f>
        <v>SMB</v>
      </c>
      <c r="N1591" t="str">
        <f>VLOOKUP(E1591, Sales_Reps!A:C, 3, FALSE)</f>
        <v>South</v>
      </c>
      <c r="O1591">
        <f>VLOOKUP(D1591, Products!A:D, 4, FALSE)</f>
        <v>2135</v>
      </c>
      <c r="P1591">
        <f>IFERROR(VLOOKUP(C1591, Customers!A:C, 3, FALSE), 0)</f>
        <v>44</v>
      </c>
      <c r="Q1591">
        <f t="shared" si="24"/>
        <v>0.42761394101876676</v>
      </c>
    </row>
    <row r="1592" spans="1:17" x14ac:dyDescent="0.3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  <c r="L1592" t="str">
        <f>VLOOKUP(D1592, Products!A:C, 3, FALSE)</f>
        <v>Sports</v>
      </c>
      <c r="M1592" t="str">
        <f>IFERROR(VLOOKUP(C1592, Customers!A:E, 5, FALSE), "Unknown")</f>
        <v>SMB</v>
      </c>
      <c r="N1592" t="str">
        <f>VLOOKUP(E1592, Sales_Reps!A:C, 3, FALSE)</f>
        <v>West</v>
      </c>
      <c r="O1592">
        <f>VLOOKUP(D1592, Products!A:D, 4, FALSE)</f>
        <v>2467</v>
      </c>
      <c r="P1592">
        <f>IFERROR(VLOOKUP(C1592, Customers!A:C, 3, FALSE), 0)</f>
        <v>47</v>
      </c>
      <c r="Q1592">
        <f t="shared" si="24"/>
        <v>0.28492753623188405</v>
      </c>
    </row>
    <row r="1593" spans="1:17" x14ac:dyDescent="0.3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  <c r="L1593" t="str">
        <f>VLOOKUP(D1593, Products!A:C, 3, FALSE)</f>
        <v>Electronics</v>
      </c>
      <c r="M1593" t="str">
        <f>IFERROR(VLOOKUP(C1593, Customers!A:E, 5, FALSE), "Unknown")</f>
        <v>Corporate</v>
      </c>
      <c r="N1593" t="str">
        <f>VLOOKUP(E1593, Sales_Reps!A:C, 3, FALSE)</f>
        <v>North</v>
      </c>
      <c r="O1593">
        <f>VLOOKUP(D1593, Products!A:D, 4, FALSE)</f>
        <v>2865</v>
      </c>
      <c r="P1593">
        <f>IFERROR(VLOOKUP(C1593, Customers!A:C, 3, FALSE), 0)</f>
        <v>36</v>
      </c>
      <c r="Q1593">
        <f t="shared" si="24"/>
        <v>0.27833753148614609</v>
      </c>
    </row>
    <row r="1594" spans="1:17" x14ac:dyDescent="0.3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  <c r="L1594" t="str">
        <f>VLOOKUP(D1594, Products!A:C, 3, FALSE)</f>
        <v>Home</v>
      </c>
      <c r="M1594" t="str">
        <f>IFERROR(VLOOKUP(C1594, Customers!A:E, 5, FALSE), "Unknown")</f>
        <v>Retail</v>
      </c>
      <c r="N1594" t="str">
        <f>VLOOKUP(E1594, Sales_Reps!A:C, 3, FALSE)</f>
        <v>East</v>
      </c>
      <c r="O1594">
        <f>VLOOKUP(D1594, Products!A:D, 4, FALSE)</f>
        <v>464</v>
      </c>
      <c r="P1594">
        <f>IFERROR(VLOOKUP(C1594, Customers!A:C, 3, FALSE), 0)</f>
        <v>52</v>
      </c>
      <c r="Q1594">
        <f t="shared" si="24"/>
        <v>0.57431192660550456</v>
      </c>
    </row>
    <row r="1595" spans="1:17" x14ac:dyDescent="0.3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  <c r="L1595" t="str">
        <f>VLOOKUP(D1595, Products!A:C, 3, FALSE)</f>
        <v>Home</v>
      </c>
      <c r="M1595" t="str">
        <f>IFERROR(VLOOKUP(C1595, Customers!A:E, 5, FALSE), "Unknown")</f>
        <v>SMB</v>
      </c>
      <c r="N1595" t="str">
        <f>VLOOKUP(E1595, Sales_Reps!A:C, 3, FALSE)</f>
        <v>East</v>
      </c>
      <c r="O1595">
        <f>VLOOKUP(D1595, Products!A:D, 4, FALSE)</f>
        <v>1143</v>
      </c>
      <c r="P1595">
        <f>IFERROR(VLOOKUP(C1595, Customers!A:C, 3, FALSE), 0)</f>
        <v>49</v>
      </c>
      <c r="Q1595">
        <f t="shared" si="24"/>
        <v>0.43694581280788175</v>
      </c>
    </row>
    <row r="1596" spans="1:17" x14ac:dyDescent="0.3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  <c r="L1596" t="str">
        <f>VLOOKUP(D1596, Products!A:C, 3, FALSE)</f>
        <v>Grocery</v>
      </c>
      <c r="M1596" t="str">
        <f>IFERROR(VLOOKUP(C1596, Customers!A:E, 5, FALSE), "Unknown")</f>
        <v>Corporate</v>
      </c>
      <c r="N1596" t="str">
        <f>VLOOKUP(E1596, Sales_Reps!A:C, 3, FALSE)</f>
        <v>North</v>
      </c>
      <c r="O1596">
        <f>VLOOKUP(D1596, Products!A:D, 4, FALSE)</f>
        <v>2027</v>
      </c>
      <c r="P1596">
        <f>IFERROR(VLOOKUP(C1596, Customers!A:C, 3, FALSE), 0)</f>
        <v>22</v>
      </c>
      <c r="Q1596">
        <f t="shared" si="24"/>
        <v>0.50196560196560192</v>
      </c>
    </row>
    <row r="1597" spans="1:17" x14ac:dyDescent="0.3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  <c r="L1597" t="str">
        <f>VLOOKUP(D1597, Products!A:C, 3, FALSE)</f>
        <v>Apparel</v>
      </c>
      <c r="M1597" t="str">
        <f>IFERROR(VLOOKUP(C1597, Customers!A:E, 5, FALSE), "Unknown")</f>
        <v>Corporate</v>
      </c>
      <c r="N1597" t="str">
        <f>VLOOKUP(E1597, Sales_Reps!A:C, 3, FALSE)</f>
        <v>West</v>
      </c>
      <c r="O1597">
        <f>VLOOKUP(D1597, Products!A:D, 4, FALSE)</f>
        <v>2509</v>
      </c>
      <c r="P1597">
        <f>IFERROR(VLOOKUP(C1597, Customers!A:C, 3, FALSE), 0)</f>
        <v>49</v>
      </c>
      <c r="Q1597">
        <f t="shared" si="24"/>
        <v>0.3069060773480663</v>
      </c>
    </row>
    <row r="1598" spans="1:17" x14ac:dyDescent="0.3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  <c r="L1598" t="str">
        <f>VLOOKUP(D1598, Products!A:C, 3, FALSE)</f>
        <v>Sports</v>
      </c>
      <c r="M1598" t="str">
        <f>IFERROR(VLOOKUP(C1598, Customers!A:E, 5, FALSE), "Unknown")</f>
        <v>Retail</v>
      </c>
      <c r="N1598" t="str">
        <f>VLOOKUP(E1598, Sales_Reps!A:C, 3, FALSE)</f>
        <v>North</v>
      </c>
      <c r="O1598">
        <f>VLOOKUP(D1598, Products!A:D, 4, FALSE)</f>
        <v>516</v>
      </c>
      <c r="P1598">
        <f>IFERROR(VLOOKUP(C1598, Customers!A:C, 3, FALSE), 0)</f>
        <v>31</v>
      </c>
      <c r="Q1598">
        <f t="shared" si="24"/>
        <v>0.4891089108910891</v>
      </c>
    </row>
    <row r="1599" spans="1:17" x14ac:dyDescent="0.3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  <c r="L1599" t="str">
        <f>VLOOKUP(D1599, Products!A:C, 3, FALSE)</f>
        <v>Grocery</v>
      </c>
      <c r="M1599" t="str">
        <f>IFERROR(VLOOKUP(C1599, Customers!A:E, 5, FALSE), "Unknown")</f>
        <v>SMB</v>
      </c>
      <c r="N1599" t="str">
        <f>VLOOKUP(E1599, Sales_Reps!A:C, 3, FALSE)</f>
        <v>North</v>
      </c>
      <c r="O1599">
        <f>VLOOKUP(D1599, Products!A:D, 4, FALSE)</f>
        <v>434</v>
      </c>
      <c r="P1599">
        <f>IFERROR(VLOOKUP(C1599, Customers!A:C, 3, FALSE), 0)</f>
        <v>38</v>
      </c>
      <c r="Q1599">
        <f t="shared" si="24"/>
        <v>0.5525773195876289</v>
      </c>
    </row>
    <row r="1600" spans="1:17" x14ac:dyDescent="0.3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  <c r="L1600" t="str">
        <f>VLOOKUP(D1600, Products!A:C, 3, FALSE)</f>
        <v>Sports</v>
      </c>
      <c r="M1600" t="str">
        <f>IFERROR(VLOOKUP(C1600, Customers!A:E, 5, FALSE), "Unknown")</f>
        <v>Retail</v>
      </c>
      <c r="N1600" t="str">
        <f>VLOOKUP(E1600, Sales_Reps!A:C, 3, FALSE)</f>
        <v>West</v>
      </c>
      <c r="O1600">
        <f>VLOOKUP(D1600, Products!A:D, 4, FALSE)</f>
        <v>302</v>
      </c>
      <c r="P1600">
        <f>IFERROR(VLOOKUP(C1600, Customers!A:C, 3, FALSE), 0)</f>
        <v>47</v>
      </c>
      <c r="Q1600">
        <f t="shared" si="24"/>
        <v>0.35744680851063831</v>
      </c>
    </row>
    <row r="1601" spans="1:17" x14ac:dyDescent="0.3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  <c r="L1601" t="str">
        <f>VLOOKUP(D1601, Products!A:C, 3, FALSE)</f>
        <v>Apparel</v>
      </c>
      <c r="M1601" t="str">
        <f>IFERROR(VLOOKUP(C1601, Customers!A:E, 5, FALSE), "Unknown")</f>
        <v>Retail</v>
      </c>
      <c r="N1601" t="str">
        <f>VLOOKUP(E1601, Sales_Reps!A:C, 3, FALSE)</f>
        <v>South</v>
      </c>
      <c r="O1601">
        <f>VLOOKUP(D1601, Products!A:D, 4, FALSE)</f>
        <v>1748</v>
      </c>
      <c r="P1601">
        <f>IFERROR(VLOOKUP(C1601, Customers!A:C, 3, FALSE), 0)</f>
        <v>37</v>
      </c>
      <c r="Q1601">
        <f t="shared" si="24"/>
        <v>0.49333333333333335</v>
      </c>
    </row>
    <row r="1602" spans="1:17" x14ac:dyDescent="0.3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  <c r="L1602" t="str">
        <f>VLOOKUP(D1602, Products!A:C, 3, FALSE)</f>
        <v>Electronics</v>
      </c>
      <c r="M1602" t="str">
        <f>IFERROR(VLOOKUP(C1602, Customers!A:E, 5, FALSE), "Unknown")</f>
        <v>Corporate</v>
      </c>
      <c r="N1602" t="str">
        <f>VLOOKUP(E1602, Sales_Reps!A:C, 3, FALSE)</f>
        <v>East</v>
      </c>
      <c r="O1602">
        <f>VLOOKUP(D1602, Products!A:D, 4, FALSE)</f>
        <v>1149</v>
      </c>
      <c r="P1602">
        <f>IFERROR(VLOOKUP(C1602, Customers!A:C, 3, FALSE), 0)</f>
        <v>40</v>
      </c>
      <c r="Q1602">
        <f t="shared" si="24"/>
        <v>0.56477272727272732</v>
      </c>
    </row>
    <row r="1603" spans="1:17" x14ac:dyDescent="0.3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  <c r="L1603" t="str">
        <f>VLOOKUP(D1603, Products!A:C, 3, FALSE)</f>
        <v>Electronics</v>
      </c>
      <c r="M1603" t="str">
        <f>IFERROR(VLOOKUP(C1603, Customers!A:E, 5, FALSE), "Unknown")</f>
        <v>Retail</v>
      </c>
      <c r="N1603" t="str">
        <f>VLOOKUP(E1603, Sales_Reps!A:C, 3, FALSE)</f>
        <v>East</v>
      </c>
      <c r="O1603">
        <f>VLOOKUP(D1603, Products!A:D, 4, FALSE)</f>
        <v>1665</v>
      </c>
      <c r="P1603">
        <f>IFERROR(VLOOKUP(C1603, Customers!A:C, 3, FALSE), 0)</f>
        <v>26</v>
      </c>
      <c r="Q1603">
        <f t="shared" ref="Q1603:Q1666" si="25">(G1603 - O1603) / G1603</f>
        <v>0.53361344537815125</v>
      </c>
    </row>
    <row r="1604" spans="1:17" x14ac:dyDescent="0.3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  <c r="L1604" t="str">
        <f>VLOOKUP(D1604, Products!A:C, 3, FALSE)</f>
        <v>Electronics</v>
      </c>
      <c r="M1604" t="str">
        <f>IFERROR(VLOOKUP(C1604, Customers!A:E, 5, FALSE), "Unknown")</f>
        <v>Retail</v>
      </c>
      <c r="N1604" t="str">
        <f>VLOOKUP(E1604, Sales_Reps!A:C, 3, FALSE)</f>
        <v>South</v>
      </c>
      <c r="O1604">
        <f>VLOOKUP(D1604, Products!A:D, 4, FALSE)</f>
        <v>861</v>
      </c>
      <c r="P1604">
        <f>IFERROR(VLOOKUP(C1604, Customers!A:C, 3, FALSE), 0)</f>
        <v>22</v>
      </c>
      <c r="Q1604">
        <f t="shared" si="25"/>
        <v>0.39790209790209791</v>
      </c>
    </row>
    <row r="1605" spans="1:17" x14ac:dyDescent="0.3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  <c r="L1605" t="str">
        <f>VLOOKUP(D1605, Products!A:C, 3, FALSE)</f>
        <v>Sports</v>
      </c>
      <c r="M1605" t="str">
        <f>IFERROR(VLOOKUP(C1605, Customers!A:E, 5, FALSE), "Unknown")</f>
        <v>Retail</v>
      </c>
      <c r="N1605" t="str">
        <f>VLOOKUP(E1605, Sales_Reps!A:C, 3, FALSE)</f>
        <v>South</v>
      </c>
      <c r="O1605">
        <f>VLOOKUP(D1605, Products!A:D, 4, FALSE)</f>
        <v>705</v>
      </c>
      <c r="P1605">
        <f>IFERROR(VLOOKUP(C1605, Customers!A:C, 3, FALSE), 0)</f>
        <v>32</v>
      </c>
      <c r="Q1605">
        <f t="shared" si="25"/>
        <v>0.265625</v>
      </c>
    </row>
    <row r="1606" spans="1:17" x14ac:dyDescent="0.3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  <c r="L1606" t="str">
        <f>VLOOKUP(D1606, Products!A:C, 3, FALSE)</f>
        <v>Home</v>
      </c>
      <c r="M1606" t="str">
        <f>IFERROR(VLOOKUP(C1606, Customers!A:E, 5, FALSE), "Unknown")</f>
        <v>Retail</v>
      </c>
      <c r="N1606" t="str">
        <f>VLOOKUP(E1606, Sales_Reps!A:C, 3, FALSE)</f>
        <v>South</v>
      </c>
      <c r="O1606">
        <f>VLOOKUP(D1606, Products!A:D, 4, FALSE)</f>
        <v>1556</v>
      </c>
      <c r="P1606">
        <f>IFERROR(VLOOKUP(C1606, Customers!A:C, 3, FALSE), 0)</f>
        <v>27</v>
      </c>
      <c r="Q1606">
        <f t="shared" si="25"/>
        <v>0.52123076923076928</v>
      </c>
    </row>
    <row r="1607" spans="1:17" x14ac:dyDescent="0.3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  <c r="L1607" t="str">
        <f>VLOOKUP(D1607, Products!A:C, 3, FALSE)</f>
        <v>Sports</v>
      </c>
      <c r="M1607" t="str">
        <f>IFERROR(VLOOKUP(C1607, Customers!A:E, 5, FALSE), "Unknown")</f>
        <v>Corporate</v>
      </c>
      <c r="N1607" t="str">
        <f>VLOOKUP(E1607, Sales_Reps!A:C, 3, FALSE)</f>
        <v>East</v>
      </c>
      <c r="O1607">
        <f>VLOOKUP(D1607, Products!A:D, 4, FALSE)</f>
        <v>2467</v>
      </c>
      <c r="P1607">
        <f>IFERROR(VLOOKUP(C1607, Customers!A:C, 3, FALSE), 0)</f>
        <v>22</v>
      </c>
      <c r="Q1607">
        <f t="shared" si="25"/>
        <v>0.28492753623188405</v>
      </c>
    </row>
    <row r="1608" spans="1:17" x14ac:dyDescent="0.3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  <c r="L1608" t="str">
        <f>VLOOKUP(D1608, Products!A:C, 3, FALSE)</f>
        <v>Grocery</v>
      </c>
      <c r="M1608" t="str">
        <f>IFERROR(VLOOKUP(C1608, Customers!A:E, 5, FALSE), "Unknown")</f>
        <v>SMB</v>
      </c>
      <c r="N1608" t="str">
        <f>VLOOKUP(E1608, Sales_Reps!A:C, 3, FALSE)</f>
        <v>South</v>
      </c>
      <c r="O1608">
        <f>VLOOKUP(D1608, Products!A:D, 4, FALSE)</f>
        <v>1203</v>
      </c>
      <c r="P1608">
        <f>IFERROR(VLOOKUP(C1608, Customers!A:C, 3, FALSE), 0)</f>
        <v>40</v>
      </c>
      <c r="Q1608">
        <f t="shared" si="25"/>
        <v>0.47004405286343615</v>
      </c>
    </row>
    <row r="1609" spans="1:17" x14ac:dyDescent="0.3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  <c r="L1609" t="str">
        <f>VLOOKUP(D1609, Products!A:C, 3, FALSE)</f>
        <v>Beauty</v>
      </c>
      <c r="M1609" t="str">
        <f>IFERROR(VLOOKUP(C1609, Customers!A:E, 5, FALSE), "Unknown")</f>
        <v>Retail</v>
      </c>
      <c r="N1609" t="str">
        <f>VLOOKUP(E1609, Sales_Reps!A:C, 3, FALSE)</f>
        <v>East</v>
      </c>
      <c r="O1609">
        <f>VLOOKUP(D1609, Products!A:D, 4, FALSE)</f>
        <v>1626</v>
      </c>
      <c r="P1609">
        <f>IFERROR(VLOOKUP(C1609, Customers!A:C, 3, FALSE), 0)</f>
        <v>46</v>
      </c>
      <c r="Q1609">
        <f t="shared" si="25"/>
        <v>0.46158940397350995</v>
      </c>
    </row>
    <row r="1610" spans="1:17" x14ac:dyDescent="0.3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  <c r="L1610" t="str">
        <f>VLOOKUP(D1610, Products!A:C, 3, FALSE)</f>
        <v>Electronics</v>
      </c>
      <c r="M1610" t="str">
        <f>IFERROR(VLOOKUP(C1610, Customers!A:E, 5, FALSE), "Unknown")</f>
        <v>Retail</v>
      </c>
      <c r="N1610" t="str">
        <f>VLOOKUP(E1610, Sales_Reps!A:C, 3, FALSE)</f>
        <v>North</v>
      </c>
      <c r="O1610">
        <f>VLOOKUP(D1610, Products!A:D, 4, FALSE)</f>
        <v>1149</v>
      </c>
      <c r="P1610">
        <f>IFERROR(VLOOKUP(C1610, Customers!A:C, 3, FALSE), 0)</f>
        <v>55</v>
      </c>
      <c r="Q1610">
        <f t="shared" si="25"/>
        <v>0.56477272727272732</v>
      </c>
    </row>
    <row r="1611" spans="1:17" x14ac:dyDescent="0.3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  <c r="L1611" t="str">
        <f>VLOOKUP(D1611, Products!A:C, 3, FALSE)</f>
        <v>Grocery</v>
      </c>
      <c r="M1611" t="str">
        <f>IFERROR(VLOOKUP(C1611, Customers!A:E, 5, FALSE), "Unknown")</f>
        <v>Retail</v>
      </c>
      <c r="N1611" t="str">
        <f>VLOOKUP(E1611, Sales_Reps!A:C, 3, FALSE)</f>
        <v>West</v>
      </c>
      <c r="O1611">
        <f>VLOOKUP(D1611, Products!A:D, 4, FALSE)</f>
        <v>1203</v>
      </c>
      <c r="P1611">
        <f>IFERROR(VLOOKUP(C1611, Customers!A:C, 3, FALSE), 0)</f>
        <v>42</v>
      </c>
      <c r="Q1611">
        <f t="shared" si="25"/>
        <v>0.47004405286343615</v>
      </c>
    </row>
    <row r="1612" spans="1:17" x14ac:dyDescent="0.3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  <c r="L1612" t="str">
        <f>VLOOKUP(D1612, Products!A:C, 3, FALSE)</f>
        <v>Grocery</v>
      </c>
      <c r="M1612" t="str">
        <f>IFERROR(VLOOKUP(C1612, Customers!A:E, 5, FALSE), "Unknown")</f>
        <v>Retail</v>
      </c>
      <c r="N1612" t="str">
        <f>VLOOKUP(E1612, Sales_Reps!A:C, 3, FALSE)</f>
        <v>West</v>
      </c>
      <c r="O1612">
        <f>VLOOKUP(D1612, Products!A:D, 4, FALSE)</f>
        <v>1435</v>
      </c>
      <c r="P1612">
        <f>IFERROR(VLOOKUP(C1612, Customers!A:C, 3, FALSE), 0)</f>
        <v>36</v>
      </c>
      <c r="Q1612">
        <f t="shared" si="25"/>
        <v>0.48007246376811596</v>
      </c>
    </row>
    <row r="1613" spans="1:17" x14ac:dyDescent="0.3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  <c r="L1613" t="str">
        <f>VLOOKUP(D1613, Products!A:C, 3, FALSE)</f>
        <v>Apparel</v>
      </c>
      <c r="M1613" t="str">
        <f>IFERROR(VLOOKUP(C1613, Customers!A:E, 5, FALSE), "Unknown")</f>
        <v>Retail</v>
      </c>
      <c r="N1613" t="str">
        <f>VLOOKUP(E1613, Sales_Reps!A:C, 3, FALSE)</f>
        <v>East</v>
      </c>
      <c r="O1613">
        <f>VLOOKUP(D1613, Products!A:D, 4, FALSE)</f>
        <v>2509</v>
      </c>
      <c r="P1613">
        <f>IFERROR(VLOOKUP(C1613, Customers!A:C, 3, FALSE), 0)</f>
        <v>31</v>
      </c>
      <c r="Q1613">
        <f t="shared" si="25"/>
        <v>0.3069060773480663</v>
      </c>
    </row>
    <row r="1614" spans="1:17" x14ac:dyDescent="0.3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  <c r="L1614" t="str">
        <f>VLOOKUP(D1614, Products!A:C, 3, FALSE)</f>
        <v>Beauty</v>
      </c>
      <c r="M1614" t="str">
        <f>IFERROR(VLOOKUP(C1614, Customers!A:E, 5, FALSE), "Unknown")</f>
        <v>Retail</v>
      </c>
      <c r="N1614" t="str">
        <f>VLOOKUP(E1614, Sales_Reps!A:C, 3, FALSE)</f>
        <v>East</v>
      </c>
      <c r="O1614">
        <f>VLOOKUP(D1614, Products!A:D, 4, FALSE)</f>
        <v>1219</v>
      </c>
      <c r="P1614">
        <f>IFERROR(VLOOKUP(C1614, Customers!A:C, 3, FALSE), 0)</f>
        <v>54</v>
      </c>
      <c r="Q1614">
        <f t="shared" si="25"/>
        <v>0.46768558951965067</v>
      </c>
    </row>
    <row r="1615" spans="1:17" x14ac:dyDescent="0.3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  <c r="L1615" t="str">
        <f>VLOOKUP(D1615, Products!A:C, 3, FALSE)</f>
        <v>Beauty</v>
      </c>
      <c r="M1615" t="str">
        <f>IFERROR(VLOOKUP(C1615, Customers!A:E, 5, FALSE), "Unknown")</f>
        <v>Corporate</v>
      </c>
      <c r="N1615" t="str">
        <f>VLOOKUP(E1615, Sales_Reps!A:C, 3, FALSE)</f>
        <v>East</v>
      </c>
      <c r="O1615">
        <f>VLOOKUP(D1615, Products!A:D, 4, FALSE)</f>
        <v>1222</v>
      </c>
      <c r="P1615">
        <f>IFERROR(VLOOKUP(C1615, Customers!A:C, 3, FALSE), 0)</f>
        <v>41</v>
      </c>
      <c r="Q1615">
        <f t="shared" si="25"/>
        <v>0.2593939393939394</v>
      </c>
    </row>
    <row r="1616" spans="1:17" x14ac:dyDescent="0.3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  <c r="L1616" t="str">
        <f>VLOOKUP(D1616, Products!A:C, 3, FALSE)</f>
        <v>Electronics</v>
      </c>
      <c r="M1616" t="str">
        <f>IFERROR(VLOOKUP(C1616, Customers!A:E, 5, FALSE), "Unknown")</f>
        <v>Corporate</v>
      </c>
      <c r="N1616" t="str">
        <f>VLOOKUP(E1616, Sales_Reps!A:C, 3, FALSE)</f>
        <v>East</v>
      </c>
      <c r="O1616">
        <f>VLOOKUP(D1616, Products!A:D, 4, FALSE)</f>
        <v>2405</v>
      </c>
      <c r="P1616">
        <f>IFERROR(VLOOKUP(C1616, Customers!A:C, 3, FALSE), 0)</f>
        <v>35</v>
      </c>
      <c r="Q1616">
        <f t="shared" si="25"/>
        <v>0.54878048780487809</v>
      </c>
    </row>
    <row r="1617" spans="1:17" x14ac:dyDescent="0.3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  <c r="L1617" t="str">
        <f>VLOOKUP(D1617, Products!A:C, 3, FALSE)</f>
        <v>Home</v>
      </c>
      <c r="M1617" t="str">
        <f>IFERROR(VLOOKUP(C1617, Customers!A:E, 5, FALSE), "Unknown")</f>
        <v>Retail</v>
      </c>
      <c r="N1617" t="str">
        <f>VLOOKUP(E1617, Sales_Reps!A:C, 3, FALSE)</f>
        <v>East</v>
      </c>
      <c r="O1617">
        <f>VLOOKUP(D1617, Products!A:D, 4, FALSE)</f>
        <v>519</v>
      </c>
      <c r="P1617">
        <f>IFERROR(VLOOKUP(C1617, Customers!A:C, 3, FALSE), 0)</f>
        <v>35</v>
      </c>
      <c r="Q1617">
        <f t="shared" si="25"/>
        <v>0.51944444444444449</v>
      </c>
    </row>
    <row r="1618" spans="1:17" x14ac:dyDescent="0.3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  <c r="L1618" t="str">
        <f>VLOOKUP(D1618, Products!A:C, 3, FALSE)</f>
        <v>Electronics</v>
      </c>
      <c r="M1618" t="str">
        <f>IFERROR(VLOOKUP(C1618, Customers!A:E, 5, FALSE), "Unknown")</f>
        <v>Corporate</v>
      </c>
      <c r="N1618" t="str">
        <f>VLOOKUP(E1618, Sales_Reps!A:C, 3, FALSE)</f>
        <v>East</v>
      </c>
      <c r="O1618">
        <f>VLOOKUP(D1618, Products!A:D, 4, FALSE)</f>
        <v>517</v>
      </c>
      <c r="P1618">
        <f>IFERROR(VLOOKUP(C1618, Customers!A:C, 3, FALSE), 0)</f>
        <v>46</v>
      </c>
      <c r="Q1618">
        <f t="shared" si="25"/>
        <v>0.57622950819672136</v>
      </c>
    </row>
    <row r="1619" spans="1:17" x14ac:dyDescent="0.3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  <c r="L1619" t="str">
        <f>VLOOKUP(D1619, Products!A:C, 3, FALSE)</f>
        <v>Home</v>
      </c>
      <c r="M1619" t="str">
        <f>IFERROR(VLOOKUP(C1619, Customers!A:E, 5, FALSE), "Unknown")</f>
        <v>Corporate</v>
      </c>
      <c r="N1619" t="str">
        <f>VLOOKUP(E1619, Sales_Reps!A:C, 3, FALSE)</f>
        <v>West</v>
      </c>
      <c r="O1619">
        <f>VLOOKUP(D1619, Products!A:D, 4, FALSE)</f>
        <v>329</v>
      </c>
      <c r="P1619">
        <f>IFERROR(VLOOKUP(C1619, Customers!A:C, 3, FALSE), 0)</f>
        <v>46</v>
      </c>
      <c r="Q1619">
        <f t="shared" si="25"/>
        <v>0.50151515151515147</v>
      </c>
    </row>
    <row r="1620" spans="1:17" x14ac:dyDescent="0.3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  <c r="L1620" t="str">
        <f>VLOOKUP(D1620, Products!A:C, 3, FALSE)</f>
        <v>Home</v>
      </c>
      <c r="M1620" t="str">
        <f>IFERROR(VLOOKUP(C1620, Customers!A:E, 5, FALSE), "Unknown")</f>
        <v>Retail</v>
      </c>
      <c r="N1620" t="str">
        <f>VLOOKUP(E1620, Sales_Reps!A:C, 3, FALSE)</f>
        <v>East</v>
      </c>
      <c r="O1620">
        <f>VLOOKUP(D1620, Products!A:D, 4, FALSE)</f>
        <v>519</v>
      </c>
      <c r="P1620">
        <f>IFERROR(VLOOKUP(C1620, Customers!A:C, 3, FALSE), 0)</f>
        <v>65</v>
      </c>
      <c r="Q1620">
        <f t="shared" si="25"/>
        <v>0.51944444444444449</v>
      </c>
    </row>
    <row r="1621" spans="1:17" x14ac:dyDescent="0.3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  <c r="L1621" t="str">
        <f>VLOOKUP(D1621, Products!A:C, 3, FALSE)</f>
        <v>Grocery</v>
      </c>
      <c r="M1621" t="str">
        <f>IFERROR(VLOOKUP(C1621, Customers!A:E, 5, FALSE), "Unknown")</f>
        <v>Corporate</v>
      </c>
      <c r="N1621" t="str">
        <f>VLOOKUP(E1621, Sales_Reps!A:C, 3, FALSE)</f>
        <v>East</v>
      </c>
      <c r="O1621">
        <f>VLOOKUP(D1621, Products!A:D, 4, FALSE)</f>
        <v>1412</v>
      </c>
      <c r="P1621">
        <f>IFERROR(VLOOKUP(C1621, Customers!A:C, 3, FALSE), 0)</f>
        <v>30</v>
      </c>
      <c r="Q1621">
        <f t="shared" si="25"/>
        <v>0.37797356828193834</v>
      </c>
    </row>
    <row r="1622" spans="1:17" x14ac:dyDescent="0.3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  <c r="L1622" t="str">
        <f>VLOOKUP(D1622, Products!A:C, 3, FALSE)</f>
        <v>Home</v>
      </c>
      <c r="M1622" t="str">
        <f>IFERROR(VLOOKUP(C1622, Customers!A:E, 5, FALSE), "Unknown")</f>
        <v>SMB</v>
      </c>
      <c r="N1622" t="str">
        <f>VLOOKUP(E1622, Sales_Reps!A:C, 3, FALSE)</f>
        <v>West</v>
      </c>
      <c r="O1622">
        <f>VLOOKUP(D1622, Products!A:D, 4, FALSE)</f>
        <v>288</v>
      </c>
      <c r="P1622">
        <f>IFERROR(VLOOKUP(C1622, Customers!A:C, 3, FALSE), 0)</f>
        <v>29</v>
      </c>
      <c r="Q1622">
        <f t="shared" si="25"/>
        <v>0.22162162162162163</v>
      </c>
    </row>
    <row r="1623" spans="1:17" x14ac:dyDescent="0.3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  <c r="L1623" t="str">
        <f>VLOOKUP(D1623, Products!A:C, 3, FALSE)</f>
        <v>Grocery</v>
      </c>
      <c r="M1623" t="str">
        <f>IFERROR(VLOOKUP(C1623, Customers!A:E, 5, FALSE), "Unknown")</f>
        <v>Retail</v>
      </c>
      <c r="N1623" t="str">
        <f>VLOOKUP(E1623, Sales_Reps!A:C, 3, FALSE)</f>
        <v>South</v>
      </c>
      <c r="O1623">
        <f>VLOOKUP(D1623, Products!A:D, 4, FALSE)</f>
        <v>434</v>
      </c>
      <c r="P1623">
        <f>IFERROR(VLOOKUP(C1623, Customers!A:C, 3, FALSE), 0)</f>
        <v>57</v>
      </c>
      <c r="Q1623">
        <f t="shared" si="25"/>
        <v>0.5525773195876289</v>
      </c>
    </row>
    <row r="1624" spans="1:17" x14ac:dyDescent="0.3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  <c r="L1624" t="str">
        <f>VLOOKUP(D1624, Products!A:C, 3, FALSE)</f>
        <v>Apparel</v>
      </c>
      <c r="M1624" t="str">
        <f>IFERROR(VLOOKUP(C1624, Customers!A:E, 5, FALSE), "Unknown")</f>
        <v>Retail</v>
      </c>
      <c r="N1624" t="str">
        <f>VLOOKUP(E1624, Sales_Reps!A:C, 3, FALSE)</f>
        <v>North</v>
      </c>
      <c r="O1624">
        <f>VLOOKUP(D1624, Products!A:D, 4, FALSE)</f>
        <v>396</v>
      </c>
      <c r="P1624">
        <f>IFERROR(VLOOKUP(C1624, Customers!A:C, 3, FALSE), 0)</f>
        <v>54</v>
      </c>
      <c r="Q1624">
        <f t="shared" si="25"/>
        <v>0.36129032258064514</v>
      </c>
    </row>
    <row r="1625" spans="1:17" x14ac:dyDescent="0.3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  <c r="L1625" t="str">
        <f>VLOOKUP(D1625, Products!A:C, 3, FALSE)</f>
        <v>Grocery</v>
      </c>
      <c r="M1625" t="str">
        <f>IFERROR(VLOOKUP(C1625, Customers!A:E, 5, FALSE), "Unknown")</f>
        <v>Corporate</v>
      </c>
      <c r="N1625" t="str">
        <f>VLOOKUP(E1625, Sales_Reps!A:C, 3, FALSE)</f>
        <v>West</v>
      </c>
      <c r="O1625">
        <f>VLOOKUP(D1625, Products!A:D, 4, FALSE)</f>
        <v>2214</v>
      </c>
      <c r="P1625">
        <f>IFERROR(VLOOKUP(C1625, Customers!A:C, 3, FALSE), 0)</f>
        <v>62</v>
      </c>
      <c r="Q1625">
        <f t="shared" si="25"/>
        <v>0.39508196721311473</v>
      </c>
    </row>
    <row r="1626" spans="1:17" x14ac:dyDescent="0.3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  <c r="L1626" t="str">
        <f>VLOOKUP(D1626, Products!A:C, 3, FALSE)</f>
        <v>Grocery</v>
      </c>
      <c r="M1626" t="str">
        <f>IFERROR(VLOOKUP(C1626, Customers!A:E, 5, FALSE), "Unknown")</f>
        <v>Corporate</v>
      </c>
      <c r="N1626" t="str">
        <f>VLOOKUP(E1626, Sales_Reps!A:C, 3, FALSE)</f>
        <v>West</v>
      </c>
      <c r="O1626">
        <f>VLOOKUP(D1626, Products!A:D, 4, FALSE)</f>
        <v>1010</v>
      </c>
      <c r="P1626">
        <f>IFERROR(VLOOKUP(C1626, Customers!A:C, 3, FALSE), 0)</f>
        <v>46</v>
      </c>
      <c r="Q1626">
        <f t="shared" si="25"/>
        <v>0.54298642533936647</v>
      </c>
    </row>
    <row r="1627" spans="1:17" x14ac:dyDescent="0.3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  <c r="L1627" t="str">
        <f>VLOOKUP(D1627, Products!A:C, 3, FALSE)</f>
        <v>Sports</v>
      </c>
      <c r="M1627" t="str">
        <f>IFERROR(VLOOKUP(C1627, Customers!A:E, 5, FALSE), "Unknown")</f>
        <v>Retail</v>
      </c>
      <c r="N1627" t="str">
        <f>VLOOKUP(E1627, Sales_Reps!A:C, 3, FALSE)</f>
        <v>West</v>
      </c>
      <c r="O1627">
        <f>VLOOKUP(D1627, Products!A:D, 4, FALSE)</f>
        <v>1860</v>
      </c>
      <c r="P1627">
        <f>IFERROR(VLOOKUP(C1627, Customers!A:C, 3, FALSE), 0)</f>
        <v>53</v>
      </c>
      <c r="Q1627">
        <f t="shared" si="25"/>
        <v>0.50793650793650791</v>
      </c>
    </row>
    <row r="1628" spans="1:17" x14ac:dyDescent="0.3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  <c r="L1628" t="str">
        <f>VLOOKUP(D1628, Products!A:C, 3, FALSE)</f>
        <v>Electronics</v>
      </c>
      <c r="M1628" t="str">
        <f>IFERROR(VLOOKUP(C1628, Customers!A:E, 5, FALSE), "Unknown")</f>
        <v>Retail</v>
      </c>
      <c r="N1628" t="str">
        <f>VLOOKUP(E1628, Sales_Reps!A:C, 3, FALSE)</f>
        <v>North</v>
      </c>
      <c r="O1628">
        <f>VLOOKUP(D1628, Products!A:D, 4, FALSE)</f>
        <v>1052</v>
      </c>
      <c r="P1628">
        <f>IFERROR(VLOOKUP(C1628, Customers!A:C, 3, FALSE), 0)</f>
        <v>35</v>
      </c>
      <c r="Q1628">
        <f t="shared" si="25"/>
        <v>0.5953846153846154</v>
      </c>
    </row>
    <row r="1629" spans="1:17" x14ac:dyDescent="0.3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  <c r="L1629" t="str">
        <f>VLOOKUP(D1629, Products!A:C, 3, FALSE)</f>
        <v>Grocery</v>
      </c>
      <c r="M1629" t="str">
        <f>IFERROR(VLOOKUP(C1629, Customers!A:E, 5, FALSE), "Unknown")</f>
        <v>Corporate</v>
      </c>
      <c r="N1629" t="str">
        <f>VLOOKUP(E1629, Sales_Reps!A:C, 3, FALSE)</f>
        <v>East</v>
      </c>
      <c r="O1629">
        <f>VLOOKUP(D1629, Products!A:D, 4, FALSE)</f>
        <v>2436</v>
      </c>
      <c r="P1629">
        <f>IFERROR(VLOOKUP(C1629, Customers!A:C, 3, FALSE), 0)</f>
        <v>60</v>
      </c>
      <c r="Q1629">
        <f t="shared" si="25"/>
        <v>0.35555555555555557</v>
      </c>
    </row>
    <row r="1630" spans="1:17" x14ac:dyDescent="0.3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  <c r="L1630" t="str">
        <f>VLOOKUP(D1630, Products!A:C, 3, FALSE)</f>
        <v>Electronics</v>
      </c>
      <c r="M1630" t="str">
        <f>IFERROR(VLOOKUP(C1630, Customers!A:E, 5, FALSE), "Unknown")</f>
        <v>SMB</v>
      </c>
      <c r="N1630" t="str">
        <f>VLOOKUP(E1630, Sales_Reps!A:C, 3, FALSE)</f>
        <v>North</v>
      </c>
      <c r="O1630">
        <f>VLOOKUP(D1630, Products!A:D, 4, FALSE)</f>
        <v>1149</v>
      </c>
      <c r="P1630">
        <f>IFERROR(VLOOKUP(C1630, Customers!A:C, 3, FALSE), 0)</f>
        <v>34</v>
      </c>
      <c r="Q1630">
        <f t="shared" si="25"/>
        <v>0.56477272727272732</v>
      </c>
    </row>
    <row r="1631" spans="1:17" x14ac:dyDescent="0.3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  <c r="L1631" t="str">
        <f>VLOOKUP(D1631, Products!A:C, 3, FALSE)</f>
        <v>Home</v>
      </c>
      <c r="M1631" t="str">
        <f>IFERROR(VLOOKUP(C1631, Customers!A:E, 5, FALSE), "Unknown")</f>
        <v>Retail</v>
      </c>
      <c r="N1631" t="str">
        <f>VLOOKUP(E1631, Sales_Reps!A:C, 3, FALSE)</f>
        <v>South</v>
      </c>
      <c r="O1631">
        <f>VLOOKUP(D1631, Products!A:D, 4, FALSE)</f>
        <v>464</v>
      </c>
      <c r="P1631">
        <f>IFERROR(VLOOKUP(C1631, Customers!A:C, 3, FALSE), 0)</f>
        <v>35</v>
      </c>
      <c r="Q1631">
        <f t="shared" si="25"/>
        <v>0.57431192660550456</v>
      </c>
    </row>
    <row r="1632" spans="1:17" x14ac:dyDescent="0.3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  <c r="L1632" t="str">
        <f>VLOOKUP(D1632, Products!A:C, 3, FALSE)</f>
        <v>Apparel</v>
      </c>
      <c r="M1632" t="str">
        <f>IFERROR(VLOOKUP(C1632, Customers!A:E, 5, FALSE), "Unknown")</f>
        <v>SMB</v>
      </c>
      <c r="N1632" t="str">
        <f>VLOOKUP(E1632, Sales_Reps!A:C, 3, FALSE)</f>
        <v>West</v>
      </c>
      <c r="O1632">
        <f>VLOOKUP(D1632, Products!A:D, 4, FALSE)</f>
        <v>1748</v>
      </c>
      <c r="P1632">
        <f>IFERROR(VLOOKUP(C1632, Customers!A:C, 3, FALSE), 0)</f>
        <v>46</v>
      </c>
      <c r="Q1632">
        <f t="shared" si="25"/>
        <v>0.49333333333333335</v>
      </c>
    </row>
    <row r="1633" spans="1:17" x14ac:dyDescent="0.3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  <c r="L1633" t="str">
        <f>VLOOKUP(D1633, Products!A:C, 3, FALSE)</f>
        <v>Beauty</v>
      </c>
      <c r="M1633" t="str">
        <f>IFERROR(VLOOKUP(C1633, Customers!A:E, 5, FALSE), "Unknown")</f>
        <v>Retail</v>
      </c>
      <c r="N1633" t="str">
        <f>VLOOKUP(E1633, Sales_Reps!A:C, 3, FALSE)</f>
        <v>South</v>
      </c>
      <c r="O1633">
        <f>VLOOKUP(D1633, Products!A:D, 4, FALSE)</f>
        <v>675</v>
      </c>
      <c r="P1633">
        <f>IFERROR(VLOOKUP(C1633, Customers!A:C, 3, FALSE), 0)</f>
        <v>42</v>
      </c>
      <c r="Q1633">
        <f t="shared" si="25"/>
        <v>0.296875</v>
      </c>
    </row>
    <row r="1634" spans="1:17" x14ac:dyDescent="0.3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  <c r="L1634" t="str">
        <f>VLOOKUP(D1634, Products!A:C, 3, FALSE)</f>
        <v>Grocery</v>
      </c>
      <c r="M1634" t="str">
        <f>IFERROR(VLOOKUP(C1634, Customers!A:E, 5, FALSE), "Unknown")</f>
        <v>SMB</v>
      </c>
      <c r="N1634" t="str">
        <f>VLOOKUP(E1634, Sales_Reps!A:C, 3, FALSE)</f>
        <v>West</v>
      </c>
      <c r="O1634">
        <f>VLOOKUP(D1634, Products!A:D, 4, FALSE)</f>
        <v>2214</v>
      </c>
      <c r="P1634">
        <f>IFERROR(VLOOKUP(C1634, Customers!A:C, 3, FALSE), 0)</f>
        <v>49</v>
      </c>
      <c r="Q1634">
        <f t="shared" si="25"/>
        <v>0.39508196721311473</v>
      </c>
    </row>
    <row r="1635" spans="1:17" x14ac:dyDescent="0.3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  <c r="L1635" t="str">
        <f>VLOOKUP(D1635, Products!A:C, 3, FALSE)</f>
        <v>Home</v>
      </c>
      <c r="M1635" t="str">
        <f>IFERROR(VLOOKUP(C1635, Customers!A:E, 5, FALSE), "Unknown")</f>
        <v>Retail</v>
      </c>
      <c r="N1635" t="str">
        <f>VLOOKUP(E1635, Sales_Reps!A:C, 3, FALSE)</f>
        <v>North</v>
      </c>
      <c r="O1635">
        <f>VLOOKUP(D1635, Products!A:D, 4, FALSE)</f>
        <v>2135</v>
      </c>
      <c r="P1635">
        <f>IFERROR(VLOOKUP(C1635, Customers!A:C, 3, FALSE), 0)</f>
        <v>43</v>
      </c>
      <c r="Q1635">
        <f t="shared" si="25"/>
        <v>0.42761394101876676</v>
      </c>
    </row>
    <row r="1636" spans="1:17" x14ac:dyDescent="0.3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  <c r="L1636" t="str">
        <f>VLOOKUP(D1636, Products!A:C, 3, FALSE)</f>
        <v>Grocery</v>
      </c>
      <c r="M1636" t="str">
        <f>IFERROR(VLOOKUP(C1636, Customers!A:E, 5, FALSE), "Unknown")</f>
        <v>Corporate</v>
      </c>
      <c r="N1636" t="str">
        <f>VLOOKUP(E1636, Sales_Reps!A:C, 3, FALSE)</f>
        <v>North</v>
      </c>
      <c r="O1636">
        <f>VLOOKUP(D1636, Products!A:D, 4, FALSE)</f>
        <v>2027</v>
      </c>
      <c r="P1636">
        <f>IFERROR(VLOOKUP(C1636, Customers!A:C, 3, FALSE), 0)</f>
        <v>60</v>
      </c>
      <c r="Q1636">
        <f t="shared" si="25"/>
        <v>0.50196560196560192</v>
      </c>
    </row>
    <row r="1637" spans="1:17" x14ac:dyDescent="0.3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  <c r="L1637" t="str">
        <f>VLOOKUP(D1637, Products!A:C, 3, FALSE)</f>
        <v>Electronics</v>
      </c>
      <c r="M1637" t="str">
        <f>IFERROR(VLOOKUP(C1637, Customers!A:E, 5, FALSE), "Unknown")</f>
        <v>SMB</v>
      </c>
      <c r="N1637" t="str">
        <f>VLOOKUP(E1637, Sales_Reps!A:C, 3, FALSE)</f>
        <v>East</v>
      </c>
      <c r="O1637">
        <f>VLOOKUP(D1637, Products!A:D, 4, FALSE)</f>
        <v>1259</v>
      </c>
      <c r="P1637">
        <f>IFERROR(VLOOKUP(C1637, Customers!A:C, 3, FALSE), 0)</f>
        <v>65</v>
      </c>
      <c r="Q1637">
        <f t="shared" si="25"/>
        <v>0.52669172932330832</v>
      </c>
    </row>
    <row r="1638" spans="1:17" x14ac:dyDescent="0.3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  <c r="L1638" t="str">
        <f>VLOOKUP(D1638, Products!A:C, 3, FALSE)</f>
        <v>Home</v>
      </c>
      <c r="M1638" t="str">
        <f>IFERROR(VLOOKUP(C1638, Customers!A:E, 5, FALSE), "Unknown")</f>
        <v>Retail</v>
      </c>
      <c r="N1638" t="str">
        <f>VLOOKUP(E1638, Sales_Reps!A:C, 3, FALSE)</f>
        <v>North</v>
      </c>
      <c r="O1638">
        <f>VLOOKUP(D1638, Products!A:D, 4, FALSE)</f>
        <v>1143</v>
      </c>
      <c r="P1638">
        <f>IFERROR(VLOOKUP(C1638, Customers!A:C, 3, FALSE), 0)</f>
        <v>63</v>
      </c>
      <c r="Q1638">
        <f t="shared" si="25"/>
        <v>0.43694581280788175</v>
      </c>
    </row>
    <row r="1639" spans="1:17" x14ac:dyDescent="0.3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  <c r="L1639" t="str">
        <f>VLOOKUP(D1639, Products!A:C, 3, FALSE)</f>
        <v>Grocery</v>
      </c>
      <c r="M1639" t="str">
        <f>IFERROR(VLOOKUP(C1639, Customers!A:E, 5, FALSE), "Unknown")</f>
        <v>Retail</v>
      </c>
      <c r="N1639" t="str">
        <f>VLOOKUP(E1639, Sales_Reps!A:C, 3, FALSE)</f>
        <v>North</v>
      </c>
      <c r="O1639">
        <f>VLOOKUP(D1639, Products!A:D, 4, FALSE)</f>
        <v>2214</v>
      </c>
      <c r="P1639">
        <f>IFERROR(VLOOKUP(C1639, Customers!A:C, 3, FALSE), 0)</f>
        <v>28</v>
      </c>
      <c r="Q1639">
        <f t="shared" si="25"/>
        <v>0.39508196721311473</v>
      </c>
    </row>
    <row r="1640" spans="1:17" x14ac:dyDescent="0.3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  <c r="L1640" t="str">
        <f>VLOOKUP(D1640, Products!A:C, 3, FALSE)</f>
        <v>Electronics</v>
      </c>
      <c r="M1640" t="str">
        <f>IFERROR(VLOOKUP(C1640, Customers!A:E, 5, FALSE), "Unknown")</f>
        <v>Retail</v>
      </c>
      <c r="N1640" t="str">
        <f>VLOOKUP(E1640, Sales_Reps!A:C, 3, FALSE)</f>
        <v>North</v>
      </c>
      <c r="O1640">
        <f>VLOOKUP(D1640, Products!A:D, 4, FALSE)</f>
        <v>1259</v>
      </c>
      <c r="P1640">
        <f>IFERROR(VLOOKUP(C1640, Customers!A:C, 3, FALSE), 0)</f>
        <v>42</v>
      </c>
      <c r="Q1640">
        <f t="shared" si="25"/>
        <v>0.52669172932330832</v>
      </c>
    </row>
    <row r="1641" spans="1:17" x14ac:dyDescent="0.3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  <c r="L1641" t="str">
        <f>VLOOKUP(D1641, Products!A:C, 3, FALSE)</f>
        <v>Beauty</v>
      </c>
      <c r="M1641" t="str">
        <f>IFERROR(VLOOKUP(C1641, Customers!A:E, 5, FALSE), "Unknown")</f>
        <v>SMB</v>
      </c>
      <c r="N1641" t="str">
        <f>VLOOKUP(E1641, Sales_Reps!A:C, 3, FALSE)</f>
        <v>South</v>
      </c>
      <c r="O1641">
        <f>VLOOKUP(D1641, Products!A:D, 4, FALSE)</f>
        <v>2768</v>
      </c>
      <c r="P1641">
        <f>IFERROR(VLOOKUP(C1641, Customers!A:C, 3, FALSE), 0)</f>
        <v>48</v>
      </c>
      <c r="Q1641">
        <f t="shared" si="25"/>
        <v>0.43278688524590164</v>
      </c>
    </row>
    <row r="1642" spans="1:17" x14ac:dyDescent="0.3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  <c r="L1642" t="str">
        <f>VLOOKUP(D1642, Products!A:C, 3, FALSE)</f>
        <v>Apparel</v>
      </c>
      <c r="M1642" t="str">
        <f>IFERROR(VLOOKUP(C1642, Customers!A:E, 5, FALSE), "Unknown")</f>
        <v>Retail</v>
      </c>
      <c r="N1642" t="str">
        <f>VLOOKUP(E1642, Sales_Reps!A:C, 3, FALSE)</f>
        <v>South</v>
      </c>
      <c r="O1642">
        <f>VLOOKUP(D1642, Products!A:D, 4, FALSE)</f>
        <v>1748</v>
      </c>
      <c r="P1642">
        <f>IFERROR(VLOOKUP(C1642, Customers!A:C, 3, FALSE), 0)</f>
        <v>36</v>
      </c>
      <c r="Q1642">
        <f t="shared" si="25"/>
        <v>0.49333333333333335</v>
      </c>
    </row>
    <row r="1643" spans="1:17" x14ac:dyDescent="0.3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  <c r="L1643" t="str">
        <f>VLOOKUP(D1643, Products!A:C, 3, FALSE)</f>
        <v>Beauty</v>
      </c>
      <c r="M1643" t="str">
        <f>IFERROR(VLOOKUP(C1643, Customers!A:E, 5, FALSE), "Unknown")</f>
        <v>SMB</v>
      </c>
      <c r="N1643" t="str">
        <f>VLOOKUP(E1643, Sales_Reps!A:C, 3, FALSE)</f>
        <v>East</v>
      </c>
      <c r="O1643">
        <f>VLOOKUP(D1643, Products!A:D, 4, FALSE)</f>
        <v>1626</v>
      </c>
      <c r="P1643">
        <f>IFERROR(VLOOKUP(C1643, Customers!A:C, 3, FALSE), 0)</f>
        <v>54</v>
      </c>
      <c r="Q1643">
        <f t="shared" si="25"/>
        <v>0.46158940397350995</v>
      </c>
    </row>
    <row r="1644" spans="1:17" x14ac:dyDescent="0.3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  <c r="L1644" t="str">
        <f>VLOOKUP(D1644, Products!A:C, 3, FALSE)</f>
        <v>Sports</v>
      </c>
      <c r="M1644" t="str">
        <f>IFERROR(VLOOKUP(C1644, Customers!A:E, 5, FALSE), "Unknown")</f>
        <v>Retail</v>
      </c>
      <c r="N1644" t="str">
        <f>VLOOKUP(E1644, Sales_Reps!A:C, 3, FALSE)</f>
        <v>East</v>
      </c>
      <c r="O1644">
        <f>VLOOKUP(D1644, Products!A:D, 4, FALSE)</f>
        <v>2827</v>
      </c>
      <c r="P1644">
        <f>IFERROR(VLOOKUP(C1644, Customers!A:C, 3, FALSE), 0)</f>
        <v>47</v>
      </c>
      <c r="Q1644">
        <f t="shared" si="25"/>
        <v>0.5926512968299712</v>
      </c>
    </row>
    <row r="1645" spans="1:17" x14ac:dyDescent="0.3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  <c r="L1645" t="str">
        <f>VLOOKUP(D1645, Products!A:C, 3, FALSE)</f>
        <v>Grocery</v>
      </c>
      <c r="M1645" t="str">
        <f>IFERROR(VLOOKUP(C1645, Customers!A:E, 5, FALSE), "Unknown")</f>
        <v>SMB</v>
      </c>
      <c r="N1645" t="str">
        <f>VLOOKUP(E1645, Sales_Reps!A:C, 3, FALSE)</f>
        <v>East</v>
      </c>
      <c r="O1645">
        <f>VLOOKUP(D1645, Products!A:D, 4, FALSE)</f>
        <v>1435</v>
      </c>
      <c r="P1645">
        <f>IFERROR(VLOOKUP(C1645, Customers!A:C, 3, FALSE), 0)</f>
        <v>64</v>
      </c>
      <c r="Q1645">
        <f t="shared" si="25"/>
        <v>0.48007246376811596</v>
      </c>
    </row>
    <row r="1646" spans="1:17" x14ac:dyDescent="0.3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  <c r="L1646" t="str">
        <f>VLOOKUP(D1646, Products!A:C, 3, FALSE)</f>
        <v>Beauty</v>
      </c>
      <c r="M1646" t="str">
        <f>IFERROR(VLOOKUP(C1646, Customers!A:E, 5, FALSE), "Unknown")</f>
        <v>Corporate</v>
      </c>
      <c r="N1646" t="str">
        <f>VLOOKUP(E1646, Sales_Reps!A:C, 3, FALSE)</f>
        <v>East</v>
      </c>
      <c r="O1646">
        <f>VLOOKUP(D1646, Products!A:D, 4, FALSE)</f>
        <v>675</v>
      </c>
      <c r="P1646">
        <f>IFERROR(VLOOKUP(C1646, Customers!A:C, 3, FALSE), 0)</f>
        <v>48</v>
      </c>
      <c r="Q1646">
        <f t="shared" si="25"/>
        <v>0.296875</v>
      </c>
    </row>
    <row r="1647" spans="1:17" x14ac:dyDescent="0.3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  <c r="L1647" t="str">
        <f>VLOOKUP(D1647, Products!A:C, 3, FALSE)</f>
        <v>Beauty</v>
      </c>
      <c r="M1647" t="str">
        <f>IFERROR(VLOOKUP(C1647, Customers!A:E, 5, FALSE), "Unknown")</f>
        <v>Retail</v>
      </c>
      <c r="N1647" t="str">
        <f>VLOOKUP(E1647, Sales_Reps!A:C, 3, FALSE)</f>
        <v>South</v>
      </c>
      <c r="O1647">
        <f>VLOOKUP(D1647, Products!A:D, 4, FALSE)</f>
        <v>675</v>
      </c>
      <c r="P1647">
        <f>IFERROR(VLOOKUP(C1647, Customers!A:C, 3, FALSE), 0)</f>
        <v>52</v>
      </c>
      <c r="Q1647">
        <f t="shared" si="25"/>
        <v>0.296875</v>
      </c>
    </row>
    <row r="1648" spans="1:17" x14ac:dyDescent="0.3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  <c r="L1648" t="str">
        <f>VLOOKUP(D1648, Products!A:C, 3, FALSE)</f>
        <v>Grocery</v>
      </c>
      <c r="M1648" t="str">
        <f>IFERROR(VLOOKUP(C1648, Customers!A:E, 5, FALSE), "Unknown")</f>
        <v>Retail</v>
      </c>
      <c r="N1648" t="str">
        <f>VLOOKUP(E1648, Sales_Reps!A:C, 3, FALSE)</f>
        <v>East</v>
      </c>
      <c r="O1648">
        <f>VLOOKUP(D1648, Products!A:D, 4, FALSE)</f>
        <v>434</v>
      </c>
      <c r="P1648">
        <f>IFERROR(VLOOKUP(C1648, Customers!A:C, 3, FALSE), 0)</f>
        <v>55</v>
      </c>
      <c r="Q1648">
        <f t="shared" si="25"/>
        <v>0.5525773195876289</v>
      </c>
    </row>
    <row r="1649" spans="1:17" x14ac:dyDescent="0.3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  <c r="L1649" t="str">
        <f>VLOOKUP(D1649, Products!A:C, 3, FALSE)</f>
        <v>Beauty</v>
      </c>
      <c r="M1649" t="str">
        <f>IFERROR(VLOOKUP(C1649, Customers!A:E, 5, FALSE), "Unknown")</f>
        <v>Retail</v>
      </c>
      <c r="N1649" t="str">
        <f>VLOOKUP(E1649, Sales_Reps!A:C, 3, FALSE)</f>
        <v>East</v>
      </c>
      <c r="O1649">
        <f>VLOOKUP(D1649, Products!A:D, 4, FALSE)</f>
        <v>2617</v>
      </c>
      <c r="P1649">
        <f>IFERROR(VLOOKUP(C1649, Customers!A:C, 3, FALSE), 0)</f>
        <v>57</v>
      </c>
      <c r="Q1649">
        <f t="shared" si="25"/>
        <v>0.56957236842105263</v>
      </c>
    </row>
    <row r="1650" spans="1:17" x14ac:dyDescent="0.3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  <c r="L1650" t="str">
        <f>VLOOKUP(D1650, Products!A:C, 3, FALSE)</f>
        <v>Grocery</v>
      </c>
      <c r="M1650" t="str">
        <f>IFERROR(VLOOKUP(C1650, Customers!A:E, 5, FALSE), "Unknown")</f>
        <v>Retail</v>
      </c>
      <c r="N1650" t="str">
        <f>VLOOKUP(E1650, Sales_Reps!A:C, 3, FALSE)</f>
        <v>South</v>
      </c>
      <c r="O1650">
        <f>VLOOKUP(D1650, Products!A:D, 4, FALSE)</f>
        <v>2214</v>
      </c>
      <c r="P1650">
        <f>IFERROR(VLOOKUP(C1650, Customers!A:C, 3, FALSE), 0)</f>
        <v>47</v>
      </c>
      <c r="Q1650">
        <f t="shared" si="25"/>
        <v>0.39508196721311473</v>
      </c>
    </row>
    <row r="1651" spans="1:17" x14ac:dyDescent="0.3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  <c r="L1651" t="str">
        <f>VLOOKUP(D1651, Products!A:C, 3, FALSE)</f>
        <v>Home</v>
      </c>
      <c r="M1651" t="str">
        <f>IFERROR(VLOOKUP(C1651, Customers!A:E, 5, FALSE), "Unknown")</f>
        <v>SMB</v>
      </c>
      <c r="N1651" t="str">
        <f>VLOOKUP(E1651, Sales_Reps!A:C, 3, FALSE)</f>
        <v>North</v>
      </c>
      <c r="O1651">
        <f>VLOOKUP(D1651, Products!A:D, 4, FALSE)</f>
        <v>2135</v>
      </c>
      <c r="P1651">
        <f>IFERROR(VLOOKUP(C1651, Customers!A:C, 3, FALSE), 0)</f>
        <v>57</v>
      </c>
      <c r="Q1651">
        <f t="shared" si="25"/>
        <v>0.42761394101876676</v>
      </c>
    </row>
    <row r="1652" spans="1:17" x14ac:dyDescent="0.3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  <c r="L1652" t="str">
        <f>VLOOKUP(D1652, Products!A:C, 3, FALSE)</f>
        <v>Electronics</v>
      </c>
      <c r="M1652" t="str">
        <f>IFERROR(VLOOKUP(C1652, Customers!A:E, 5, FALSE), "Unknown")</f>
        <v>SMB</v>
      </c>
      <c r="N1652" t="str">
        <f>VLOOKUP(E1652, Sales_Reps!A:C, 3, FALSE)</f>
        <v>West</v>
      </c>
      <c r="O1652">
        <f>VLOOKUP(D1652, Products!A:D, 4, FALSE)</f>
        <v>1559</v>
      </c>
      <c r="P1652">
        <f>IFERROR(VLOOKUP(C1652, Customers!A:C, 3, FALSE), 0)</f>
        <v>55</v>
      </c>
      <c r="Q1652">
        <f t="shared" si="25"/>
        <v>0.59715762273901807</v>
      </c>
    </row>
    <row r="1653" spans="1:17" x14ac:dyDescent="0.3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  <c r="L1653" t="str">
        <f>VLOOKUP(D1653, Products!A:C, 3, FALSE)</f>
        <v>Grocery</v>
      </c>
      <c r="M1653" t="str">
        <f>IFERROR(VLOOKUP(C1653, Customers!A:E, 5, FALSE), "Unknown")</f>
        <v>Corporate</v>
      </c>
      <c r="N1653" t="str">
        <f>VLOOKUP(E1653, Sales_Reps!A:C, 3, FALSE)</f>
        <v>South</v>
      </c>
      <c r="O1653">
        <f>VLOOKUP(D1653, Products!A:D, 4, FALSE)</f>
        <v>1435</v>
      </c>
      <c r="P1653">
        <f>IFERROR(VLOOKUP(C1653, Customers!A:C, 3, FALSE), 0)</f>
        <v>42</v>
      </c>
      <c r="Q1653">
        <f t="shared" si="25"/>
        <v>0.48007246376811596</v>
      </c>
    </row>
    <row r="1654" spans="1:17" x14ac:dyDescent="0.3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  <c r="L1654" t="str">
        <f>VLOOKUP(D1654, Products!A:C, 3, FALSE)</f>
        <v>Grocery</v>
      </c>
      <c r="M1654" t="str">
        <f>IFERROR(VLOOKUP(C1654, Customers!A:E, 5, FALSE), "Unknown")</f>
        <v>Retail</v>
      </c>
      <c r="N1654" t="str">
        <f>VLOOKUP(E1654, Sales_Reps!A:C, 3, FALSE)</f>
        <v>East</v>
      </c>
      <c r="O1654">
        <f>VLOOKUP(D1654, Products!A:D, 4, FALSE)</f>
        <v>1182</v>
      </c>
      <c r="P1654">
        <f>IFERROR(VLOOKUP(C1654, Customers!A:C, 3, FALSE), 0)</f>
        <v>26</v>
      </c>
      <c r="Q1654">
        <f t="shared" si="25"/>
        <v>0.50336134453781511</v>
      </c>
    </row>
    <row r="1655" spans="1:17" x14ac:dyDescent="0.3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  <c r="L1655" t="str">
        <f>VLOOKUP(D1655, Products!A:C, 3, FALSE)</f>
        <v>Beauty</v>
      </c>
      <c r="M1655" t="str">
        <f>IFERROR(VLOOKUP(C1655, Customers!A:E, 5, FALSE), "Unknown")</f>
        <v>Unknown</v>
      </c>
      <c r="N1655" t="str">
        <f>VLOOKUP(E1655, Sales_Reps!A:C, 3, FALSE)</f>
        <v>South</v>
      </c>
      <c r="O1655">
        <f>VLOOKUP(D1655, Products!A:D, 4, FALSE)</f>
        <v>2617</v>
      </c>
      <c r="P1655">
        <f>IFERROR(VLOOKUP(C1655, Customers!A:C, 3, FALSE), 0)</f>
        <v>0</v>
      </c>
      <c r="Q1655">
        <f t="shared" si="25"/>
        <v>0.56957236842105263</v>
      </c>
    </row>
    <row r="1656" spans="1:17" x14ac:dyDescent="0.3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  <c r="L1656" t="str">
        <f>VLOOKUP(D1656, Products!A:C, 3, FALSE)</f>
        <v>Apparel</v>
      </c>
      <c r="M1656" t="str">
        <f>IFERROR(VLOOKUP(C1656, Customers!A:E, 5, FALSE), "Unknown")</f>
        <v>Retail</v>
      </c>
      <c r="N1656" t="str">
        <f>VLOOKUP(E1656, Sales_Reps!A:C, 3, FALSE)</f>
        <v>South</v>
      </c>
      <c r="O1656">
        <f>VLOOKUP(D1656, Products!A:D, 4, FALSE)</f>
        <v>396</v>
      </c>
      <c r="P1656">
        <f>IFERROR(VLOOKUP(C1656, Customers!A:C, 3, FALSE), 0)</f>
        <v>38</v>
      </c>
      <c r="Q1656">
        <f t="shared" si="25"/>
        <v>0.36129032258064514</v>
      </c>
    </row>
    <row r="1657" spans="1:17" x14ac:dyDescent="0.3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  <c r="L1657" t="str">
        <f>VLOOKUP(D1657, Products!A:C, 3, FALSE)</f>
        <v>Electronics</v>
      </c>
      <c r="M1657" t="str">
        <f>IFERROR(VLOOKUP(C1657, Customers!A:E, 5, FALSE), "Unknown")</f>
        <v>Corporate</v>
      </c>
      <c r="N1657" t="str">
        <f>VLOOKUP(E1657, Sales_Reps!A:C, 3, FALSE)</f>
        <v>South</v>
      </c>
      <c r="O1657">
        <f>VLOOKUP(D1657, Products!A:D, 4, FALSE)</f>
        <v>1559</v>
      </c>
      <c r="P1657">
        <f>IFERROR(VLOOKUP(C1657, Customers!A:C, 3, FALSE), 0)</f>
        <v>35</v>
      </c>
      <c r="Q1657">
        <f t="shared" si="25"/>
        <v>0.59715762273901807</v>
      </c>
    </row>
    <row r="1658" spans="1:17" x14ac:dyDescent="0.3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  <c r="L1658" t="str">
        <f>VLOOKUP(D1658, Products!A:C, 3, FALSE)</f>
        <v>Electronics</v>
      </c>
      <c r="M1658" t="str">
        <f>IFERROR(VLOOKUP(C1658, Customers!A:E, 5, FALSE), "Unknown")</f>
        <v>SMB</v>
      </c>
      <c r="N1658" t="str">
        <f>VLOOKUP(E1658, Sales_Reps!A:C, 3, FALSE)</f>
        <v>East</v>
      </c>
      <c r="O1658">
        <f>VLOOKUP(D1658, Products!A:D, 4, FALSE)</f>
        <v>1665</v>
      </c>
      <c r="P1658">
        <f>IFERROR(VLOOKUP(C1658, Customers!A:C, 3, FALSE), 0)</f>
        <v>44</v>
      </c>
      <c r="Q1658">
        <f t="shared" si="25"/>
        <v>0.53361344537815125</v>
      </c>
    </row>
    <row r="1659" spans="1:17" x14ac:dyDescent="0.3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  <c r="L1659" t="str">
        <f>VLOOKUP(D1659, Products!A:C, 3, FALSE)</f>
        <v>Grocery</v>
      </c>
      <c r="M1659" t="str">
        <f>IFERROR(VLOOKUP(C1659, Customers!A:E, 5, FALSE), "Unknown")</f>
        <v>Retail</v>
      </c>
      <c r="N1659" t="str">
        <f>VLOOKUP(E1659, Sales_Reps!A:C, 3, FALSE)</f>
        <v>South</v>
      </c>
      <c r="O1659">
        <f>VLOOKUP(D1659, Products!A:D, 4, FALSE)</f>
        <v>2027</v>
      </c>
      <c r="P1659">
        <f>IFERROR(VLOOKUP(C1659, Customers!A:C, 3, FALSE), 0)</f>
        <v>34</v>
      </c>
      <c r="Q1659">
        <f t="shared" si="25"/>
        <v>0.50196560196560192</v>
      </c>
    </row>
    <row r="1660" spans="1:17" x14ac:dyDescent="0.3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  <c r="L1660" t="str">
        <f>VLOOKUP(D1660, Products!A:C, 3, FALSE)</f>
        <v>Apparel</v>
      </c>
      <c r="M1660" t="str">
        <f>IFERROR(VLOOKUP(C1660, Customers!A:E, 5, FALSE), "Unknown")</f>
        <v>SMB</v>
      </c>
      <c r="N1660" t="str">
        <f>VLOOKUP(E1660, Sales_Reps!A:C, 3, FALSE)</f>
        <v>East</v>
      </c>
      <c r="O1660">
        <f>VLOOKUP(D1660, Products!A:D, 4, FALSE)</f>
        <v>391</v>
      </c>
      <c r="P1660">
        <f>IFERROR(VLOOKUP(C1660, Customers!A:C, 3, FALSE), 0)</f>
        <v>26</v>
      </c>
      <c r="Q1660">
        <f t="shared" si="25"/>
        <v>0.52317073170731709</v>
      </c>
    </row>
    <row r="1661" spans="1:17" x14ac:dyDescent="0.3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  <c r="L1661" t="str">
        <f>VLOOKUP(D1661, Products!A:C, 3, FALSE)</f>
        <v>Beauty</v>
      </c>
      <c r="M1661" t="str">
        <f>IFERROR(VLOOKUP(C1661, Customers!A:E, 5, FALSE), "Unknown")</f>
        <v>Retail</v>
      </c>
      <c r="N1661" t="str">
        <f>VLOOKUP(E1661, Sales_Reps!A:C, 3, FALSE)</f>
        <v>West</v>
      </c>
      <c r="O1661">
        <f>VLOOKUP(D1661, Products!A:D, 4, FALSE)</f>
        <v>1626</v>
      </c>
      <c r="P1661">
        <f>IFERROR(VLOOKUP(C1661, Customers!A:C, 3, FALSE), 0)</f>
        <v>29</v>
      </c>
      <c r="Q1661">
        <f t="shared" si="25"/>
        <v>0.46158940397350995</v>
      </c>
    </row>
    <row r="1662" spans="1:17" x14ac:dyDescent="0.3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  <c r="L1662" t="str">
        <f>VLOOKUP(D1662, Products!A:C, 3, FALSE)</f>
        <v>Apparel</v>
      </c>
      <c r="M1662" t="str">
        <f>IFERROR(VLOOKUP(C1662, Customers!A:E, 5, FALSE), "Unknown")</f>
        <v>Corporate</v>
      </c>
      <c r="N1662" t="str">
        <f>VLOOKUP(E1662, Sales_Reps!A:C, 3, FALSE)</f>
        <v>East</v>
      </c>
      <c r="O1662">
        <f>VLOOKUP(D1662, Products!A:D, 4, FALSE)</f>
        <v>2629</v>
      </c>
      <c r="P1662">
        <f>IFERROR(VLOOKUP(C1662, Customers!A:C, 3, FALSE), 0)</f>
        <v>22</v>
      </c>
      <c r="Q1662">
        <f t="shared" si="25"/>
        <v>0.26151685393258428</v>
      </c>
    </row>
    <row r="1663" spans="1:17" x14ac:dyDescent="0.3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  <c r="L1663" t="str">
        <f>VLOOKUP(D1663, Products!A:C, 3, FALSE)</f>
        <v>Beauty</v>
      </c>
      <c r="M1663" t="str">
        <f>IFERROR(VLOOKUP(C1663, Customers!A:E, 5, FALSE), "Unknown")</f>
        <v>Corporate</v>
      </c>
      <c r="N1663" t="str">
        <f>VLOOKUP(E1663, Sales_Reps!A:C, 3, FALSE)</f>
        <v>North</v>
      </c>
      <c r="O1663">
        <f>VLOOKUP(D1663, Products!A:D, 4, FALSE)</f>
        <v>1728</v>
      </c>
      <c r="P1663">
        <f>IFERROR(VLOOKUP(C1663, Customers!A:C, 3, FALSE), 0)</f>
        <v>29</v>
      </c>
      <c r="Q1663">
        <f t="shared" si="25"/>
        <v>0.48417910447761192</v>
      </c>
    </row>
    <row r="1664" spans="1:17" x14ac:dyDescent="0.3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  <c r="L1664" t="str">
        <f>VLOOKUP(D1664, Products!A:C, 3, FALSE)</f>
        <v>Beauty</v>
      </c>
      <c r="M1664" t="str">
        <f>IFERROR(VLOOKUP(C1664, Customers!A:E, 5, FALSE), "Unknown")</f>
        <v>Retail</v>
      </c>
      <c r="N1664" t="str">
        <f>VLOOKUP(E1664, Sales_Reps!A:C, 3, FALSE)</f>
        <v>West</v>
      </c>
      <c r="O1664">
        <f>VLOOKUP(D1664, Products!A:D, 4, FALSE)</f>
        <v>1219</v>
      </c>
      <c r="P1664">
        <f>IFERROR(VLOOKUP(C1664, Customers!A:C, 3, FALSE), 0)</f>
        <v>48</v>
      </c>
      <c r="Q1664">
        <f t="shared" si="25"/>
        <v>0.46768558951965067</v>
      </c>
    </row>
    <row r="1665" spans="1:17" x14ac:dyDescent="0.3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  <c r="L1665" t="str">
        <f>VLOOKUP(D1665, Products!A:C, 3, FALSE)</f>
        <v>Grocery</v>
      </c>
      <c r="M1665" t="str">
        <f>IFERROR(VLOOKUP(C1665, Customers!A:E, 5, FALSE), "Unknown")</f>
        <v>Retail</v>
      </c>
      <c r="N1665" t="str">
        <f>VLOOKUP(E1665, Sales_Reps!A:C, 3, FALSE)</f>
        <v>North</v>
      </c>
      <c r="O1665">
        <f>VLOOKUP(D1665, Products!A:D, 4, FALSE)</f>
        <v>2214</v>
      </c>
      <c r="P1665">
        <f>IFERROR(VLOOKUP(C1665, Customers!A:C, 3, FALSE), 0)</f>
        <v>61</v>
      </c>
      <c r="Q1665">
        <f t="shared" si="25"/>
        <v>0.39508196721311473</v>
      </c>
    </row>
    <row r="1666" spans="1:17" x14ac:dyDescent="0.3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  <c r="L1666" t="str">
        <f>VLOOKUP(D1666, Products!A:C, 3, FALSE)</f>
        <v>Electronics</v>
      </c>
      <c r="M1666" t="str">
        <f>IFERROR(VLOOKUP(C1666, Customers!A:E, 5, FALSE), "Unknown")</f>
        <v>Corporate</v>
      </c>
      <c r="N1666" t="str">
        <f>VLOOKUP(E1666, Sales_Reps!A:C, 3, FALSE)</f>
        <v>South</v>
      </c>
      <c r="O1666">
        <f>VLOOKUP(D1666, Products!A:D, 4, FALSE)</f>
        <v>1149</v>
      </c>
      <c r="P1666">
        <f>IFERROR(VLOOKUP(C1666, Customers!A:C, 3, FALSE), 0)</f>
        <v>55</v>
      </c>
      <c r="Q1666">
        <f t="shared" si="25"/>
        <v>0.56477272727272732</v>
      </c>
    </row>
    <row r="1667" spans="1:17" x14ac:dyDescent="0.3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  <c r="L1667" t="str">
        <f>VLOOKUP(D1667, Products!A:C, 3, FALSE)</f>
        <v>Home</v>
      </c>
      <c r="M1667" t="str">
        <f>IFERROR(VLOOKUP(C1667, Customers!A:E, 5, FALSE), "Unknown")</f>
        <v>Retail</v>
      </c>
      <c r="N1667" t="str">
        <f>VLOOKUP(E1667, Sales_Reps!A:C, 3, FALSE)</f>
        <v>North</v>
      </c>
      <c r="O1667">
        <f>VLOOKUP(D1667, Products!A:D, 4, FALSE)</f>
        <v>288</v>
      </c>
      <c r="P1667">
        <f>IFERROR(VLOOKUP(C1667, Customers!A:C, 3, FALSE), 0)</f>
        <v>63</v>
      </c>
      <c r="Q1667">
        <f t="shared" ref="Q1667:Q1730" si="26">(G1667 - O1667) / G1667</f>
        <v>0.22162162162162163</v>
      </c>
    </row>
    <row r="1668" spans="1:17" x14ac:dyDescent="0.3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  <c r="L1668" t="str">
        <f>VLOOKUP(D1668, Products!A:C, 3, FALSE)</f>
        <v>Grocery</v>
      </c>
      <c r="M1668" t="str">
        <f>IFERROR(VLOOKUP(C1668, Customers!A:E, 5, FALSE), "Unknown")</f>
        <v>Retail</v>
      </c>
      <c r="N1668" t="str">
        <f>VLOOKUP(E1668, Sales_Reps!A:C, 3, FALSE)</f>
        <v>North</v>
      </c>
      <c r="O1668">
        <f>VLOOKUP(D1668, Products!A:D, 4, FALSE)</f>
        <v>1203</v>
      </c>
      <c r="P1668">
        <f>IFERROR(VLOOKUP(C1668, Customers!A:C, 3, FALSE), 0)</f>
        <v>49</v>
      </c>
      <c r="Q1668">
        <f t="shared" si="26"/>
        <v>0.47004405286343615</v>
      </c>
    </row>
    <row r="1669" spans="1:17" x14ac:dyDescent="0.3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  <c r="L1669" t="str">
        <f>VLOOKUP(D1669, Products!A:C, 3, FALSE)</f>
        <v>Home</v>
      </c>
      <c r="M1669" t="str">
        <f>IFERROR(VLOOKUP(C1669, Customers!A:E, 5, FALSE), "Unknown")</f>
        <v>Retail</v>
      </c>
      <c r="N1669" t="str">
        <f>VLOOKUP(E1669, Sales_Reps!A:C, 3, FALSE)</f>
        <v>South</v>
      </c>
      <c r="O1669">
        <f>VLOOKUP(D1669, Products!A:D, 4, FALSE)</f>
        <v>329</v>
      </c>
      <c r="P1669">
        <f>IFERROR(VLOOKUP(C1669, Customers!A:C, 3, FALSE), 0)</f>
        <v>37</v>
      </c>
      <c r="Q1669">
        <f t="shared" si="26"/>
        <v>0.50151515151515147</v>
      </c>
    </row>
    <row r="1670" spans="1:17" x14ac:dyDescent="0.3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  <c r="L1670" t="str">
        <f>VLOOKUP(D1670, Products!A:C, 3, FALSE)</f>
        <v>Sports</v>
      </c>
      <c r="M1670" t="str">
        <f>IFERROR(VLOOKUP(C1670, Customers!A:E, 5, FALSE), "Unknown")</f>
        <v>Unknown</v>
      </c>
      <c r="N1670" t="str">
        <f>VLOOKUP(E1670, Sales_Reps!A:C, 3, FALSE)</f>
        <v>North</v>
      </c>
      <c r="O1670">
        <f>VLOOKUP(D1670, Products!A:D, 4, FALSE)</f>
        <v>705</v>
      </c>
      <c r="P1670">
        <f>IFERROR(VLOOKUP(C1670, Customers!A:C, 3, FALSE), 0)</f>
        <v>0</v>
      </c>
      <c r="Q1670">
        <f t="shared" si="26"/>
        <v>0.265625</v>
      </c>
    </row>
    <row r="1671" spans="1:17" x14ac:dyDescent="0.3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  <c r="L1671" t="str">
        <f>VLOOKUP(D1671, Products!A:C, 3, FALSE)</f>
        <v>Beauty</v>
      </c>
      <c r="M1671" t="str">
        <f>IFERROR(VLOOKUP(C1671, Customers!A:E, 5, FALSE), "Unknown")</f>
        <v>Retail</v>
      </c>
      <c r="N1671" t="str">
        <f>VLOOKUP(E1671, Sales_Reps!A:C, 3, FALSE)</f>
        <v>South</v>
      </c>
      <c r="O1671">
        <f>VLOOKUP(D1671, Products!A:D, 4, FALSE)</f>
        <v>2237</v>
      </c>
      <c r="P1671">
        <f>IFERROR(VLOOKUP(C1671, Customers!A:C, 3, FALSE), 0)</f>
        <v>32</v>
      </c>
      <c r="Q1671">
        <f t="shared" si="26"/>
        <v>0.56137254901960787</v>
      </c>
    </row>
    <row r="1672" spans="1:17" x14ac:dyDescent="0.3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  <c r="L1672" t="str">
        <f>VLOOKUP(D1672, Products!A:C, 3, FALSE)</f>
        <v>Apparel</v>
      </c>
      <c r="M1672" t="str">
        <f>IFERROR(VLOOKUP(C1672, Customers!A:E, 5, FALSE), "Unknown")</f>
        <v>Retail</v>
      </c>
      <c r="N1672" t="str">
        <f>VLOOKUP(E1672, Sales_Reps!A:C, 3, FALSE)</f>
        <v>North</v>
      </c>
      <c r="O1672">
        <f>VLOOKUP(D1672, Products!A:D, 4, FALSE)</f>
        <v>1886</v>
      </c>
      <c r="P1672">
        <f>IFERROR(VLOOKUP(C1672, Customers!A:C, 3, FALSE), 0)</f>
        <v>25</v>
      </c>
      <c r="Q1672">
        <f t="shared" si="26"/>
        <v>0.4031645569620253</v>
      </c>
    </row>
    <row r="1673" spans="1:17" x14ac:dyDescent="0.3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  <c r="L1673" t="str">
        <f>VLOOKUP(D1673, Products!A:C, 3, FALSE)</f>
        <v>Beauty</v>
      </c>
      <c r="M1673" t="str">
        <f>IFERROR(VLOOKUP(C1673, Customers!A:E, 5, FALSE), "Unknown")</f>
        <v>Unknown</v>
      </c>
      <c r="N1673" t="str">
        <f>VLOOKUP(E1673, Sales_Reps!A:C, 3, FALSE)</f>
        <v>North</v>
      </c>
      <c r="O1673">
        <f>VLOOKUP(D1673, Products!A:D, 4, FALSE)</f>
        <v>647</v>
      </c>
      <c r="P1673">
        <f>IFERROR(VLOOKUP(C1673, Customers!A:C, 3, FALSE), 0)</f>
        <v>0</v>
      </c>
      <c r="Q1673">
        <f t="shared" si="26"/>
        <v>0.57987012987012987</v>
      </c>
    </row>
    <row r="1674" spans="1:17" x14ac:dyDescent="0.3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  <c r="L1674" t="str">
        <f>VLOOKUP(D1674, Products!A:C, 3, FALSE)</f>
        <v>Beauty</v>
      </c>
      <c r="M1674" t="str">
        <f>IFERROR(VLOOKUP(C1674, Customers!A:E, 5, FALSE), "Unknown")</f>
        <v>SMB</v>
      </c>
      <c r="N1674" t="str">
        <f>VLOOKUP(E1674, Sales_Reps!A:C, 3, FALSE)</f>
        <v>West</v>
      </c>
      <c r="O1674">
        <f>VLOOKUP(D1674, Products!A:D, 4, FALSE)</f>
        <v>2420</v>
      </c>
      <c r="P1674">
        <f>IFERROR(VLOOKUP(C1674, Customers!A:C, 3, FALSE), 0)</f>
        <v>46</v>
      </c>
      <c r="Q1674">
        <f t="shared" si="26"/>
        <v>0.29855072463768118</v>
      </c>
    </row>
    <row r="1675" spans="1:17" x14ac:dyDescent="0.3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  <c r="L1675" t="str">
        <f>VLOOKUP(D1675, Products!A:C, 3, FALSE)</f>
        <v>Grocery</v>
      </c>
      <c r="M1675" t="str">
        <f>IFERROR(VLOOKUP(C1675, Customers!A:E, 5, FALSE), "Unknown")</f>
        <v>Retail</v>
      </c>
      <c r="N1675" t="str">
        <f>VLOOKUP(E1675, Sales_Reps!A:C, 3, FALSE)</f>
        <v>West</v>
      </c>
      <c r="O1675">
        <f>VLOOKUP(D1675, Products!A:D, 4, FALSE)</f>
        <v>1182</v>
      </c>
      <c r="P1675">
        <f>IFERROR(VLOOKUP(C1675, Customers!A:C, 3, FALSE), 0)</f>
        <v>61</v>
      </c>
      <c r="Q1675">
        <f t="shared" si="26"/>
        <v>0.50336134453781511</v>
      </c>
    </row>
    <row r="1676" spans="1:17" x14ac:dyDescent="0.3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  <c r="L1676" t="str">
        <f>VLOOKUP(D1676, Products!A:C, 3, FALSE)</f>
        <v>Home</v>
      </c>
      <c r="M1676" t="str">
        <f>IFERROR(VLOOKUP(C1676, Customers!A:E, 5, FALSE), "Unknown")</f>
        <v>Retail</v>
      </c>
      <c r="N1676" t="str">
        <f>VLOOKUP(E1676, Sales_Reps!A:C, 3, FALSE)</f>
        <v>North</v>
      </c>
      <c r="O1676">
        <f>VLOOKUP(D1676, Products!A:D, 4, FALSE)</f>
        <v>2135</v>
      </c>
      <c r="P1676">
        <f>IFERROR(VLOOKUP(C1676, Customers!A:C, 3, FALSE), 0)</f>
        <v>25</v>
      </c>
      <c r="Q1676">
        <f t="shared" si="26"/>
        <v>0.42761394101876676</v>
      </c>
    </row>
    <row r="1677" spans="1:17" x14ac:dyDescent="0.3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  <c r="L1677" t="str">
        <f>VLOOKUP(D1677, Products!A:C, 3, FALSE)</f>
        <v>Home</v>
      </c>
      <c r="M1677" t="str">
        <f>IFERROR(VLOOKUP(C1677, Customers!A:E, 5, FALSE), "Unknown")</f>
        <v>Retail</v>
      </c>
      <c r="N1677" t="str">
        <f>VLOOKUP(E1677, Sales_Reps!A:C, 3, FALSE)</f>
        <v>North</v>
      </c>
      <c r="O1677">
        <f>VLOOKUP(D1677, Products!A:D, 4, FALSE)</f>
        <v>1556</v>
      </c>
      <c r="P1677">
        <f>IFERROR(VLOOKUP(C1677, Customers!A:C, 3, FALSE), 0)</f>
        <v>43</v>
      </c>
      <c r="Q1677">
        <f t="shared" si="26"/>
        <v>0.52123076923076928</v>
      </c>
    </row>
    <row r="1678" spans="1:17" x14ac:dyDescent="0.3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  <c r="L1678" t="str">
        <f>VLOOKUP(D1678, Products!A:C, 3, FALSE)</f>
        <v>Sports</v>
      </c>
      <c r="M1678" t="str">
        <f>IFERROR(VLOOKUP(C1678, Customers!A:E, 5, FALSE), "Unknown")</f>
        <v>Retail</v>
      </c>
      <c r="N1678" t="str">
        <f>VLOOKUP(E1678, Sales_Reps!A:C, 3, FALSE)</f>
        <v>East</v>
      </c>
      <c r="O1678">
        <f>VLOOKUP(D1678, Products!A:D, 4, FALSE)</f>
        <v>302</v>
      </c>
      <c r="P1678">
        <f>IFERROR(VLOOKUP(C1678, Customers!A:C, 3, FALSE), 0)</f>
        <v>35</v>
      </c>
      <c r="Q1678">
        <f t="shared" si="26"/>
        <v>0.35744680851063831</v>
      </c>
    </row>
    <row r="1679" spans="1:17" x14ac:dyDescent="0.3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  <c r="L1679" t="str">
        <f>VLOOKUP(D1679, Products!A:C, 3, FALSE)</f>
        <v>Beauty</v>
      </c>
      <c r="M1679" t="str">
        <f>IFERROR(VLOOKUP(C1679, Customers!A:E, 5, FALSE), "Unknown")</f>
        <v>Corporate</v>
      </c>
      <c r="N1679" t="str">
        <f>VLOOKUP(E1679, Sales_Reps!A:C, 3, FALSE)</f>
        <v>West</v>
      </c>
      <c r="O1679">
        <f>VLOOKUP(D1679, Products!A:D, 4, FALSE)</f>
        <v>1219</v>
      </c>
      <c r="P1679">
        <f>IFERROR(VLOOKUP(C1679, Customers!A:C, 3, FALSE), 0)</f>
        <v>43</v>
      </c>
      <c r="Q1679">
        <f t="shared" si="26"/>
        <v>0.46768558951965067</v>
      </c>
    </row>
    <row r="1680" spans="1:17" x14ac:dyDescent="0.3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  <c r="L1680" t="str">
        <f>VLOOKUP(D1680, Products!A:C, 3, FALSE)</f>
        <v>Electronics</v>
      </c>
      <c r="M1680" t="str">
        <f>IFERROR(VLOOKUP(C1680, Customers!A:E, 5, FALSE), "Unknown")</f>
        <v>Retail</v>
      </c>
      <c r="N1680" t="str">
        <f>VLOOKUP(E1680, Sales_Reps!A:C, 3, FALSE)</f>
        <v>West</v>
      </c>
      <c r="O1680">
        <f>VLOOKUP(D1680, Products!A:D, 4, FALSE)</f>
        <v>861</v>
      </c>
      <c r="P1680">
        <f>IFERROR(VLOOKUP(C1680, Customers!A:C, 3, FALSE), 0)</f>
        <v>31</v>
      </c>
      <c r="Q1680">
        <f t="shared" si="26"/>
        <v>0.39790209790209791</v>
      </c>
    </row>
    <row r="1681" spans="1:17" x14ac:dyDescent="0.3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  <c r="L1681" t="str">
        <f>VLOOKUP(D1681, Products!A:C, 3, FALSE)</f>
        <v>Sports</v>
      </c>
      <c r="M1681" t="str">
        <f>IFERROR(VLOOKUP(C1681, Customers!A:E, 5, FALSE), "Unknown")</f>
        <v>Retail</v>
      </c>
      <c r="N1681" t="str">
        <f>VLOOKUP(E1681, Sales_Reps!A:C, 3, FALSE)</f>
        <v>North</v>
      </c>
      <c r="O1681">
        <f>VLOOKUP(D1681, Products!A:D, 4, FALSE)</f>
        <v>2028</v>
      </c>
      <c r="P1681">
        <f>IFERROR(VLOOKUP(C1681, Customers!A:C, 3, FALSE), 0)</f>
        <v>54</v>
      </c>
      <c r="Q1681">
        <f t="shared" si="26"/>
        <v>0.29090909090909089</v>
      </c>
    </row>
    <row r="1682" spans="1:17" x14ac:dyDescent="0.3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  <c r="L1682" t="str">
        <f>VLOOKUP(D1682, Products!A:C, 3, FALSE)</f>
        <v>Beauty</v>
      </c>
      <c r="M1682" t="str">
        <f>IFERROR(VLOOKUP(C1682, Customers!A:E, 5, FALSE), "Unknown")</f>
        <v>Retail</v>
      </c>
      <c r="N1682" t="str">
        <f>VLOOKUP(E1682, Sales_Reps!A:C, 3, FALSE)</f>
        <v>East</v>
      </c>
      <c r="O1682">
        <f>VLOOKUP(D1682, Products!A:D, 4, FALSE)</f>
        <v>2420</v>
      </c>
      <c r="P1682">
        <f>IFERROR(VLOOKUP(C1682, Customers!A:C, 3, FALSE), 0)</f>
        <v>65</v>
      </c>
      <c r="Q1682">
        <f t="shared" si="26"/>
        <v>0.29855072463768118</v>
      </c>
    </row>
    <row r="1683" spans="1:17" x14ac:dyDescent="0.3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  <c r="L1683" t="str">
        <f>VLOOKUP(D1683, Products!A:C, 3, FALSE)</f>
        <v>Sports</v>
      </c>
      <c r="M1683" t="str">
        <f>IFERROR(VLOOKUP(C1683, Customers!A:E, 5, FALSE), "Unknown")</f>
        <v>Retail</v>
      </c>
      <c r="N1683" t="str">
        <f>VLOOKUP(E1683, Sales_Reps!A:C, 3, FALSE)</f>
        <v>East</v>
      </c>
      <c r="O1683">
        <f>VLOOKUP(D1683, Products!A:D, 4, FALSE)</f>
        <v>2265</v>
      </c>
      <c r="P1683">
        <f>IFERROR(VLOOKUP(C1683, Customers!A:C, 3, FALSE), 0)</f>
        <v>62</v>
      </c>
      <c r="Q1683">
        <f t="shared" si="26"/>
        <v>0.58133086876155271</v>
      </c>
    </row>
    <row r="1684" spans="1:17" x14ac:dyDescent="0.3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  <c r="L1684" t="str">
        <f>VLOOKUP(D1684, Products!A:C, 3, FALSE)</f>
        <v>Home</v>
      </c>
      <c r="M1684" t="str">
        <f>IFERROR(VLOOKUP(C1684, Customers!A:E, 5, FALSE), "Unknown")</f>
        <v>Retail</v>
      </c>
      <c r="N1684" t="str">
        <f>VLOOKUP(E1684, Sales_Reps!A:C, 3, FALSE)</f>
        <v>West</v>
      </c>
      <c r="O1684">
        <f>VLOOKUP(D1684, Products!A:D, 4, FALSE)</f>
        <v>519</v>
      </c>
      <c r="P1684">
        <f>IFERROR(VLOOKUP(C1684, Customers!A:C, 3, FALSE), 0)</f>
        <v>62</v>
      </c>
      <c r="Q1684">
        <f t="shared" si="26"/>
        <v>0.51944444444444449</v>
      </c>
    </row>
    <row r="1685" spans="1:17" x14ac:dyDescent="0.3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  <c r="L1685" t="str">
        <f>VLOOKUP(D1685, Products!A:C, 3, FALSE)</f>
        <v>Sports</v>
      </c>
      <c r="M1685" t="str">
        <f>IFERROR(VLOOKUP(C1685, Customers!A:E, 5, FALSE), "Unknown")</f>
        <v>Retail</v>
      </c>
      <c r="N1685" t="str">
        <f>VLOOKUP(E1685, Sales_Reps!A:C, 3, FALSE)</f>
        <v>East</v>
      </c>
      <c r="O1685">
        <f>VLOOKUP(D1685, Products!A:D, 4, FALSE)</f>
        <v>2028</v>
      </c>
      <c r="P1685">
        <f>IFERROR(VLOOKUP(C1685, Customers!A:C, 3, FALSE), 0)</f>
        <v>46</v>
      </c>
      <c r="Q1685">
        <f t="shared" si="26"/>
        <v>0.29090909090909089</v>
      </c>
    </row>
    <row r="1686" spans="1:17" x14ac:dyDescent="0.3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  <c r="L1686" t="str">
        <f>VLOOKUP(D1686, Products!A:C, 3, FALSE)</f>
        <v>Beauty</v>
      </c>
      <c r="M1686" t="str">
        <f>IFERROR(VLOOKUP(C1686, Customers!A:E, 5, FALSE), "Unknown")</f>
        <v>Unknown</v>
      </c>
      <c r="N1686" t="str">
        <f>VLOOKUP(E1686, Sales_Reps!A:C, 3, FALSE)</f>
        <v>South</v>
      </c>
      <c r="O1686">
        <f>VLOOKUP(D1686, Products!A:D, 4, FALSE)</f>
        <v>1626</v>
      </c>
      <c r="P1686">
        <f>IFERROR(VLOOKUP(C1686, Customers!A:C, 3, FALSE), 0)</f>
        <v>0</v>
      </c>
      <c r="Q1686">
        <f t="shared" si="26"/>
        <v>0.46158940397350995</v>
      </c>
    </row>
    <row r="1687" spans="1:17" x14ac:dyDescent="0.3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  <c r="L1687" t="str">
        <f>VLOOKUP(D1687, Products!A:C, 3, FALSE)</f>
        <v>Sports</v>
      </c>
      <c r="M1687" t="str">
        <f>IFERROR(VLOOKUP(C1687, Customers!A:E, 5, FALSE), "Unknown")</f>
        <v>SMB</v>
      </c>
      <c r="N1687" t="str">
        <f>VLOOKUP(E1687, Sales_Reps!A:C, 3, FALSE)</f>
        <v>West</v>
      </c>
      <c r="O1687">
        <f>VLOOKUP(D1687, Products!A:D, 4, FALSE)</f>
        <v>705</v>
      </c>
      <c r="P1687">
        <f>IFERROR(VLOOKUP(C1687, Customers!A:C, 3, FALSE), 0)</f>
        <v>54</v>
      </c>
      <c r="Q1687">
        <f t="shared" si="26"/>
        <v>0.265625</v>
      </c>
    </row>
    <row r="1688" spans="1:17" x14ac:dyDescent="0.3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  <c r="L1688" t="str">
        <f>VLOOKUP(D1688, Products!A:C, 3, FALSE)</f>
        <v>Electronics</v>
      </c>
      <c r="M1688" t="str">
        <f>IFERROR(VLOOKUP(C1688, Customers!A:E, 5, FALSE), "Unknown")</f>
        <v>Corporate</v>
      </c>
      <c r="N1688" t="str">
        <f>VLOOKUP(E1688, Sales_Reps!A:C, 3, FALSE)</f>
        <v>West</v>
      </c>
      <c r="O1688">
        <f>VLOOKUP(D1688, Products!A:D, 4, FALSE)</f>
        <v>1559</v>
      </c>
      <c r="P1688">
        <f>IFERROR(VLOOKUP(C1688, Customers!A:C, 3, FALSE), 0)</f>
        <v>60</v>
      </c>
      <c r="Q1688">
        <f t="shared" si="26"/>
        <v>0.59715762273901807</v>
      </c>
    </row>
    <row r="1689" spans="1:17" x14ac:dyDescent="0.3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  <c r="L1689" t="str">
        <f>VLOOKUP(D1689, Products!A:C, 3, FALSE)</f>
        <v>Apparel</v>
      </c>
      <c r="M1689" t="str">
        <f>IFERROR(VLOOKUP(C1689, Customers!A:E, 5, FALSE), "Unknown")</f>
        <v>Retail</v>
      </c>
      <c r="N1689" t="str">
        <f>VLOOKUP(E1689, Sales_Reps!A:C, 3, FALSE)</f>
        <v>East</v>
      </c>
      <c r="O1689">
        <f>VLOOKUP(D1689, Products!A:D, 4, FALSE)</f>
        <v>1886</v>
      </c>
      <c r="P1689">
        <f>IFERROR(VLOOKUP(C1689, Customers!A:C, 3, FALSE), 0)</f>
        <v>39</v>
      </c>
      <c r="Q1689">
        <f t="shared" si="26"/>
        <v>0.4031645569620253</v>
      </c>
    </row>
    <row r="1690" spans="1:17" x14ac:dyDescent="0.3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  <c r="L1690" t="str">
        <f>VLOOKUP(D1690, Products!A:C, 3, FALSE)</f>
        <v>Beauty</v>
      </c>
      <c r="M1690" t="str">
        <f>IFERROR(VLOOKUP(C1690, Customers!A:E, 5, FALSE), "Unknown")</f>
        <v>SMB</v>
      </c>
      <c r="N1690" t="str">
        <f>VLOOKUP(E1690, Sales_Reps!A:C, 3, FALSE)</f>
        <v>West</v>
      </c>
      <c r="O1690">
        <f>VLOOKUP(D1690, Products!A:D, 4, FALSE)</f>
        <v>2420</v>
      </c>
      <c r="P1690">
        <f>IFERROR(VLOOKUP(C1690, Customers!A:C, 3, FALSE), 0)</f>
        <v>30</v>
      </c>
      <c r="Q1690">
        <f t="shared" si="26"/>
        <v>0.29855072463768118</v>
      </c>
    </row>
    <row r="1691" spans="1:17" x14ac:dyDescent="0.3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  <c r="L1691" t="str">
        <f>VLOOKUP(D1691, Products!A:C, 3, FALSE)</f>
        <v>Beauty</v>
      </c>
      <c r="M1691" t="str">
        <f>IFERROR(VLOOKUP(C1691, Customers!A:E, 5, FALSE), "Unknown")</f>
        <v>SMB</v>
      </c>
      <c r="N1691" t="str">
        <f>VLOOKUP(E1691, Sales_Reps!A:C, 3, FALSE)</f>
        <v>East</v>
      </c>
      <c r="O1691">
        <f>VLOOKUP(D1691, Products!A:D, 4, FALSE)</f>
        <v>675</v>
      </c>
      <c r="P1691">
        <f>IFERROR(VLOOKUP(C1691, Customers!A:C, 3, FALSE), 0)</f>
        <v>26</v>
      </c>
      <c r="Q1691">
        <f t="shared" si="26"/>
        <v>0.296875</v>
      </c>
    </row>
    <row r="1692" spans="1:17" x14ac:dyDescent="0.3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  <c r="L1692" t="str">
        <f>VLOOKUP(D1692, Products!A:C, 3, FALSE)</f>
        <v>Sports</v>
      </c>
      <c r="M1692" t="str">
        <f>IFERROR(VLOOKUP(C1692, Customers!A:E, 5, FALSE), "Unknown")</f>
        <v>Retail</v>
      </c>
      <c r="N1692" t="str">
        <f>VLOOKUP(E1692, Sales_Reps!A:C, 3, FALSE)</f>
        <v>East</v>
      </c>
      <c r="O1692">
        <f>VLOOKUP(D1692, Products!A:D, 4, FALSE)</f>
        <v>2827</v>
      </c>
      <c r="P1692">
        <f>IFERROR(VLOOKUP(C1692, Customers!A:C, 3, FALSE), 0)</f>
        <v>27</v>
      </c>
      <c r="Q1692">
        <f t="shared" si="26"/>
        <v>0.5926512968299712</v>
      </c>
    </row>
    <row r="1693" spans="1:17" x14ac:dyDescent="0.3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  <c r="L1693" t="str">
        <f>VLOOKUP(D1693, Products!A:C, 3, FALSE)</f>
        <v>Sports</v>
      </c>
      <c r="M1693" t="str">
        <f>IFERROR(VLOOKUP(C1693, Customers!A:E, 5, FALSE), "Unknown")</f>
        <v>Corporate</v>
      </c>
      <c r="N1693" t="str">
        <f>VLOOKUP(E1693, Sales_Reps!A:C, 3, FALSE)</f>
        <v>South</v>
      </c>
      <c r="O1693">
        <f>VLOOKUP(D1693, Products!A:D, 4, FALSE)</f>
        <v>974</v>
      </c>
      <c r="P1693">
        <f>IFERROR(VLOOKUP(C1693, Customers!A:C, 3, FALSE), 0)</f>
        <v>26</v>
      </c>
      <c r="Q1693">
        <f t="shared" si="26"/>
        <v>0.59416666666666662</v>
      </c>
    </row>
    <row r="1694" spans="1:17" x14ac:dyDescent="0.3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  <c r="L1694" t="str">
        <f>VLOOKUP(D1694, Products!A:C, 3, FALSE)</f>
        <v>Sports</v>
      </c>
      <c r="M1694" t="str">
        <f>IFERROR(VLOOKUP(C1694, Customers!A:E, 5, FALSE), "Unknown")</f>
        <v>Retail</v>
      </c>
      <c r="N1694" t="str">
        <f>VLOOKUP(E1694, Sales_Reps!A:C, 3, FALSE)</f>
        <v>East</v>
      </c>
      <c r="O1694">
        <f>VLOOKUP(D1694, Products!A:D, 4, FALSE)</f>
        <v>2265</v>
      </c>
      <c r="P1694">
        <f>IFERROR(VLOOKUP(C1694, Customers!A:C, 3, FALSE), 0)</f>
        <v>38</v>
      </c>
      <c r="Q1694">
        <f t="shared" si="26"/>
        <v>0.58133086876155271</v>
      </c>
    </row>
    <row r="1695" spans="1:17" x14ac:dyDescent="0.3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  <c r="L1695" t="str">
        <f>VLOOKUP(D1695, Products!A:C, 3, FALSE)</f>
        <v>Electronics</v>
      </c>
      <c r="M1695" t="str">
        <f>IFERROR(VLOOKUP(C1695, Customers!A:E, 5, FALSE), "Unknown")</f>
        <v>Retail</v>
      </c>
      <c r="N1695" t="str">
        <f>VLOOKUP(E1695, Sales_Reps!A:C, 3, FALSE)</f>
        <v>North</v>
      </c>
      <c r="O1695">
        <f>VLOOKUP(D1695, Products!A:D, 4, FALSE)</f>
        <v>517</v>
      </c>
      <c r="P1695">
        <f>IFERROR(VLOOKUP(C1695, Customers!A:C, 3, FALSE), 0)</f>
        <v>54</v>
      </c>
      <c r="Q1695">
        <f t="shared" si="26"/>
        <v>0.57622950819672136</v>
      </c>
    </row>
    <row r="1696" spans="1:17" x14ac:dyDescent="0.3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  <c r="L1696" t="str">
        <f>VLOOKUP(D1696, Products!A:C, 3, FALSE)</f>
        <v>Home</v>
      </c>
      <c r="M1696" t="str">
        <f>IFERROR(VLOOKUP(C1696, Customers!A:E, 5, FALSE), "Unknown")</f>
        <v>Retail</v>
      </c>
      <c r="N1696" t="str">
        <f>VLOOKUP(E1696, Sales_Reps!A:C, 3, FALSE)</f>
        <v>East</v>
      </c>
      <c r="O1696">
        <f>VLOOKUP(D1696, Products!A:D, 4, FALSE)</f>
        <v>464</v>
      </c>
      <c r="P1696">
        <f>IFERROR(VLOOKUP(C1696, Customers!A:C, 3, FALSE), 0)</f>
        <v>31</v>
      </c>
      <c r="Q1696">
        <f t="shared" si="26"/>
        <v>0.57431192660550456</v>
      </c>
    </row>
    <row r="1697" spans="1:17" x14ac:dyDescent="0.3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  <c r="L1697" t="str">
        <f>VLOOKUP(D1697, Products!A:C, 3, FALSE)</f>
        <v>Grocery</v>
      </c>
      <c r="M1697" t="str">
        <f>IFERROR(VLOOKUP(C1697, Customers!A:E, 5, FALSE), "Unknown")</f>
        <v>Retail</v>
      </c>
      <c r="N1697" t="str">
        <f>VLOOKUP(E1697, Sales_Reps!A:C, 3, FALSE)</f>
        <v>East</v>
      </c>
      <c r="O1697">
        <f>VLOOKUP(D1697, Products!A:D, 4, FALSE)</f>
        <v>1435</v>
      </c>
      <c r="P1697">
        <f>IFERROR(VLOOKUP(C1697, Customers!A:C, 3, FALSE), 0)</f>
        <v>28</v>
      </c>
      <c r="Q1697">
        <f t="shared" si="26"/>
        <v>0.48007246376811596</v>
      </c>
    </row>
    <row r="1698" spans="1:17" x14ac:dyDescent="0.3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  <c r="L1698" t="str">
        <f>VLOOKUP(D1698, Products!A:C, 3, FALSE)</f>
        <v>Electronics</v>
      </c>
      <c r="M1698" t="str">
        <f>IFERROR(VLOOKUP(C1698, Customers!A:E, 5, FALSE), "Unknown")</f>
        <v>SMB</v>
      </c>
      <c r="N1698" t="str">
        <f>VLOOKUP(E1698, Sales_Reps!A:C, 3, FALSE)</f>
        <v>West</v>
      </c>
      <c r="O1698">
        <f>VLOOKUP(D1698, Products!A:D, 4, FALSE)</f>
        <v>1665</v>
      </c>
      <c r="P1698">
        <f>IFERROR(VLOOKUP(C1698, Customers!A:C, 3, FALSE), 0)</f>
        <v>43</v>
      </c>
      <c r="Q1698">
        <f t="shared" si="26"/>
        <v>0.53361344537815125</v>
      </c>
    </row>
    <row r="1699" spans="1:17" x14ac:dyDescent="0.3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  <c r="L1699" t="str">
        <f>VLOOKUP(D1699, Products!A:C, 3, FALSE)</f>
        <v>Electronics</v>
      </c>
      <c r="M1699" t="str">
        <f>IFERROR(VLOOKUP(C1699, Customers!A:E, 5, FALSE), "Unknown")</f>
        <v>Retail</v>
      </c>
      <c r="N1699" t="str">
        <f>VLOOKUP(E1699, Sales_Reps!A:C, 3, FALSE)</f>
        <v>North</v>
      </c>
      <c r="O1699">
        <f>VLOOKUP(D1699, Products!A:D, 4, FALSE)</f>
        <v>517</v>
      </c>
      <c r="P1699">
        <f>IFERROR(VLOOKUP(C1699, Customers!A:C, 3, FALSE), 0)</f>
        <v>28</v>
      </c>
      <c r="Q1699">
        <f t="shared" si="26"/>
        <v>0.57622950819672136</v>
      </c>
    </row>
    <row r="1700" spans="1:17" x14ac:dyDescent="0.3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  <c r="L1700" t="str">
        <f>VLOOKUP(D1700, Products!A:C, 3, FALSE)</f>
        <v>Sports</v>
      </c>
      <c r="M1700" t="str">
        <f>IFERROR(VLOOKUP(C1700, Customers!A:E, 5, FALSE), "Unknown")</f>
        <v>Retail</v>
      </c>
      <c r="N1700" t="str">
        <f>VLOOKUP(E1700, Sales_Reps!A:C, 3, FALSE)</f>
        <v>West</v>
      </c>
      <c r="O1700">
        <f>VLOOKUP(D1700, Products!A:D, 4, FALSE)</f>
        <v>2467</v>
      </c>
      <c r="P1700">
        <f>IFERROR(VLOOKUP(C1700, Customers!A:C, 3, FALSE), 0)</f>
        <v>39</v>
      </c>
      <c r="Q1700">
        <f t="shared" si="26"/>
        <v>0.28492753623188405</v>
      </c>
    </row>
    <row r="1701" spans="1:17" x14ac:dyDescent="0.3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  <c r="L1701" t="str">
        <f>VLOOKUP(D1701, Products!A:C, 3, FALSE)</f>
        <v>Grocery</v>
      </c>
      <c r="M1701" t="str">
        <f>IFERROR(VLOOKUP(C1701, Customers!A:E, 5, FALSE), "Unknown")</f>
        <v>Retail</v>
      </c>
      <c r="N1701" t="str">
        <f>VLOOKUP(E1701, Sales_Reps!A:C, 3, FALSE)</f>
        <v>North</v>
      </c>
      <c r="O1701">
        <f>VLOOKUP(D1701, Products!A:D, 4, FALSE)</f>
        <v>1010</v>
      </c>
      <c r="P1701">
        <f>IFERROR(VLOOKUP(C1701, Customers!A:C, 3, FALSE), 0)</f>
        <v>36</v>
      </c>
      <c r="Q1701">
        <f t="shared" si="26"/>
        <v>0.54298642533936647</v>
      </c>
    </row>
    <row r="1702" spans="1:17" x14ac:dyDescent="0.3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  <c r="L1702" t="str">
        <f>VLOOKUP(D1702, Products!A:C, 3, FALSE)</f>
        <v>Apparel</v>
      </c>
      <c r="M1702" t="str">
        <f>IFERROR(VLOOKUP(C1702, Customers!A:E, 5, FALSE), "Unknown")</f>
        <v>Corporate</v>
      </c>
      <c r="N1702" t="str">
        <f>VLOOKUP(E1702, Sales_Reps!A:C, 3, FALSE)</f>
        <v>West</v>
      </c>
      <c r="O1702">
        <f>VLOOKUP(D1702, Products!A:D, 4, FALSE)</f>
        <v>1173</v>
      </c>
      <c r="P1702">
        <f>IFERROR(VLOOKUP(C1702, Customers!A:C, 3, FALSE), 0)</f>
        <v>42</v>
      </c>
      <c r="Q1702">
        <f t="shared" si="26"/>
        <v>0.52701612903225803</v>
      </c>
    </row>
    <row r="1703" spans="1:17" x14ac:dyDescent="0.3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  <c r="L1703" t="str">
        <f>VLOOKUP(D1703, Products!A:C, 3, FALSE)</f>
        <v>Home</v>
      </c>
      <c r="M1703" t="str">
        <f>IFERROR(VLOOKUP(C1703, Customers!A:E, 5, FALSE), "Unknown")</f>
        <v>Retail</v>
      </c>
      <c r="N1703" t="str">
        <f>VLOOKUP(E1703, Sales_Reps!A:C, 3, FALSE)</f>
        <v>East</v>
      </c>
      <c r="O1703">
        <f>VLOOKUP(D1703, Products!A:D, 4, FALSE)</f>
        <v>1556</v>
      </c>
      <c r="P1703">
        <f>IFERROR(VLOOKUP(C1703, Customers!A:C, 3, FALSE), 0)</f>
        <v>39</v>
      </c>
      <c r="Q1703">
        <f t="shared" si="26"/>
        <v>0.52123076923076928</v>
      </c>
    </row>
    <row r="1704" spans="1:17" x14ac:dyDescent="0.3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  <c r="L1704" t="str">
        <f>VLOOKUP(D1704, Products!A:C, 3, FALSE)</f>
        <v>Sports</v>
      </c>
      <c r="M1704" t="str">
        <f>IFERROR(VLOOKUP(C1704, Customers!A:E, 5, FALSE), "Unknown")</f>
        <v>Retail</v>
      </c>
      <c r="N1704" t="str">
        <f>VLOOKUP(E1704, Sales_Reps!A:C, 3, FALSE)</f>
        <v>North</v>
      </c>
      <c r="O1704">
        <f>VLOOKUP(D1704, Products!A:D, 4, FALSE)</f>
        <v>974</v>
      </c>
      <c r="P1704">
        <f>IFERROR(VLOOKUP(C1704, Customers!A:C, 3, FALSE), 0)</f>
        <v>37</v>
      </c>
      <c r="Q1704">
        <f t="shared" si="26"/>
        <v>0.59416666666666662</v>
      </c>
    </row>
    <row r="1705" spans="1:17" x14ac:dyDescent="0.3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  <c r="L1705" t="str">
        <f>VLOOKUP(D1705, Products!A:C, 3, FALSE)</f>
        <v>Sports</v>
      </c>
      <c r="M1705" t="str">
        <f>IFERROR(VLOOKUP(C1705, Customers!A:E, 5, FALSE), "Unknown")</f>
        <v>Retail</v>
      </c>
      <c r="N1705" t="str">
        <f>VLOOKUP(E1705, Sales_Reps!A:C, 3, FALSE)</f>
        <v>North</v>
      </c>
      <c r="O1705">
        <f>VLOOKUP(D1705, Products!A:D, 4, FALSE)</f>
        <v>2265</v>
      </c>
      <c r="P1705">
        <f>IFERROR(VLOOKUP(C1705, Customers!A:C, 3, FALSE), 0)</f>
        <v>35</v>
      </c>
      <c r="Q1705">
        <f t="shared" si="26"/>
        <v>0.58133086876155271</v>
      </c>
    </row>
    <row r="1706" spans="1:17" x14ac:dyDescent="0.3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  <c r="L1706" t="str">
        <f>VLOOKUP(D1706, Products!A:C, 3, FALSE)</f>
        <v>Electronics</v>
      </c>
      <c r="M1706" t="str">
        <f>IFERROR(VLOOKUP(C1706, Customers!A:E, 5, FALSE), "Unknown")</f>
        <v>Retail</v>
      </c>
      <c r="N1706" t="str">
        <f>VLOOKUP(E1706, Sales_Reps!A:C, 3, FALSE)</f>
        <v>East</v>
      </c>
      <c r="O1706">
        <f>VLOOKUP(D1706, Products!A:D, 4, FALSE)</f>
        <v>1052</v>
      </c>
      <c r="P1706">
        <f>IFERROR(VLOOKUP(C1706, Customers!A:C, 3, FALSE), 0)</f>
        <v>52</v>
      </c>
      <c r="Q1706">
        <f t="shared" si="26"/>
        <v>0.5953846153846154</v>
      </c>
    </row>
    <row r="1707" spans="1:17" x14ac:dyDescent="0.3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  <c r="L1707" t="str">
        <f>VLOOKUP(D1707, Products!A:C, 3, FALSE)</f>
        <v>Grocery</v>
      </c>
      <c r="M1707" t="str">
        <f>IFERROR(VLOOKUP(C1707, Customers!A:E, 5, FALSE), "Unknown")</f>
        <v>Retail</v>
      </c>
      <c r="N1707" t="str">
        <f>VLOOKUP(E1707, Sales_Reps!A:C, 3, FALSE)</f>
        <v>North</v>
      </c>
      <c r="O1707">
        <f>VLOOKUP(D1707, Products!A:D, 4, FALSE)</f>
        <v>2911</v>
      </c>
      <c r="P1707">
        <f>IFERROR(VLOOKUP(C1707, Customers!A:C, 3, FALSE), 0)</f>
        <v>25</v>
      </c>
      <c r="Q1707">
        <f t="shared" si="26"/>
        <v>0.28300492610837441</v>
      </c>
    </row>
    <row r="1708" spans="1:17" x14ac:dyDescent="0.3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  <c r="L1708" t="str">
        <f>VLOOKUP(D1708, Products!A:C, 3, FALSE)</f>
        <v>Electronics</v>
      </c>
      <c r="M1708" t="str">
        <f>IFERROR(VLOOKUP(C1708, Customers!A:E, 5, FALSE), "Unknown")</f>
        <v>Retail</v>
      </c>
      <c r="N1708" t="str">
        <f>VLOOKUP(E1708, Sales_Reps!A:C, 3, FALSE)</f>
        <v>East</v>
      </c>
      <c r="O1708">
        <f>VLOOKUP(D1708, Products!A:D, 4, FALSE)</f>
        <v>2405</v>
      </c>
      <c r="P1708">
        <f>IFERROR(VLOOKUP(C1708, Customers!A:C, 3, FALSE), 0)</f>
        <v>56</v>
      </c>
      <c r="Q1708">
        <f t="shared" si="26"/>
        <v>0.54878048780487809</v>
      </c>
    </row>
    <row r="1709" spans="1:17" x14ac:dyDescent="0.3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  <c r="L1709" t="str">
        <f>VLOOKUP(D1709, Products!A:C, 3, FALSE)</f>
        <v>Beauty</v>
      </c>
      <c r="M1709" t="str">
        <f>IFERROR(VLOOKUP(C1709, Customers!A:E, 5, FALSE), "Unknown")</f>
        <v>Retail</v>
      </c>
      <c r="N1709" t="str">
        <f>VLOOKUP(E1709, Sales_Reps!A:C, 3, FALSE)</f>
        <v>West</v>
      </c>
      <c r="O1709">
        <f>VLOOKUP(D1709, Products!A:D, 4, FALSE)</f>
        <v>1728</v>
      </c>
      <c r="P1709">
        <f>IFERROR(VLOOKUP(C1709, Customers!A:C, 3, FALSE), 0)</f>
        <v>29</v>
      </c>
      <c r="Q1709">
        <f t="shared" si="26"/>
        <v>0.48417910447761192</v>
      </c>
    </row>
    <row r="1710" spans="1:17" x14ac:dyDescent="0.3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  <c r="L1710" t="str">
        <f>VLOOKUP(D1710, Products!A:C, 3, FALSE)</f>
        <v>Apparel</v>
      </c>
      <c r="M1710" t="str">
        <f>IFERROR(VLOOKUP(C1710, Customers!A:E, 5, FALSE), "Unknown")</f>
        <v>SMB</v>
      </c>
      <c r="N1710" t="str">
        <f>VLOOKUP(E1710, Sales_Reps!A:C, 3, FALSE)</f>
        <v>South</v>
      </c>
      <c r="O1710">
        <f>VLOOKUP(D1710, Products!A:D, 4, FALSE)</f>
        <v>1075</v>
      </c>
      <c r="P1710">
        <f>IFERROR(VLOOKUP(C1710, Customers!A:C, 3, FALSE), 0)</f>
        <v>61</v>
      </c>
      <c r="Q1710">
        <f t="shared" si="26"/>
        <v>0.57171314741035861</v>
      </c>
    </row>
    <row r="1711" spans="1:17" x14ac:dyDescent="0.3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  <c r="L1711" t="str">
        <f>VLOOKUP(D1711, Products!A:C, 3, FALSE)</f>
        <v>Beauty</v>
      </c>
      <c r="M1711" t="str">
        <f>IFERROR(VLOOKUP(C1711, Customers!A:E, 5, FALSE), "Unknown")</f>
        <v>SMB</v>
      </c>
      <c r="N1711" t="str">
        <f>VLOOKUP(E1711, Sales_Reps!A:C, 3, FALSE)</f>
        <v>East</v>
      </c>
      <c r="O1711">
        <f>VLOOKUP(D1711, Products!A:D, 4, FALSE)</f>
        <v>1626</v>
      </c>
      <c r="P1711">
        <f>IFERROR(VLOOKUP(C1711, Customers!A:C, 3, FALSE), 0)</f>
        <v>44</v>
      </c>
      <c r="Q1711">
        <f t="shared" si="26"/>
        <v>0.46158940397350995</v>
      </c>
    </row>
    <row r="1712" spans="1:17" x14ac:dyDescent="0.3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  <c r="L1712" t="str">
        <f>VLOOKUP(D1712, Products!A:C, 3, FALSE)</f>
        <v>Apparel</v>
      </c>
      <c r="M1712" t="str">
        <f>IFERROR(VLOOKUP(C1712, Customers!A:E, 5, FALSE), "Unknown")</f>
        <v>Retail</v>
      </c>
      <c r="N1712" t="str">
        <f>VLOOKUP(E1712, Sales_Reps!A:C, 3, FALSE)</f>
        <v>West</v>
      </c>
      <c r="O1712">
        <f>VLOOKUP(D1712, Products!A:D, 4, FALSE)</f>
        <v>391</v>
      </c>
      <c r="P1712">
        <f>IFERROR(VLOOKUP(C1712, Customers!A:C, 3, FALSE), 0)</f>
        <v>40</v>
      </c>
      <c r="Q1712">
        <f t="shared" si="26"/>
        <v>0.52317073170731709</v>
      </c>
    </row>
    <row r="1713" spans="1:17" x14ac:dyDescent="0.3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  <c r="L1713" t="str">
        <f>VLOOKUP(D1713, Products!A:C, 3, FALSE)</f>
        <v>Apparel</v>
      </c>
      <c r="M1713" t="str">
        <f>IFERROR(VLOOKUP(C1713, Customers!A:E, 5, FALSE), "Unknown")</f>
        <v>Retail</v>
      </c>
      <c r="N1713" t="str">
        <f>VLOOKUP(E1713, Sales_Reps!A:C, 3, FALSE)</f>
        <v>West</v>
      </c>
      <c r="O1713">
        <f>VLOOKUP(D1713, Products!A:D, 4, FALSE)</f>
        <v>1886</v>
      </c>
      <c r="P1713">
        <f>IFERROR(VLOOKUP(C1713, Customers!A:C, 3, FALSE), 0)</f>
        <v>47</v>
      </c>
      <c r="Q1713">
        <f t="shared" si="26"/>
        <v>0.4031645569620253</v>
      </c>
    </row>
    <row r="1714" spans="1:17" x14ac:dyDescent="0.3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  <c r="L1714" t="str">
        <f>VLOOKUP(D1714, Products!A:C, 3, FALSE)</f>
        <v>Grocery</v>
      </c>
      <c r="M1714" t="str">
        <f>IFERROR(VLOOKUP(C1714, Customers!A:E, 5, FALSE), "Unknown")</f>
        <v>SMB</v>
      </c>
      <c r="N1714" t="str">
        <f>VLOOKUP(E1714, Sales_Reps!A:C, 3, FALSE)</f>
        <v>South</v>
      </c>
      <c r="O1714">
        <f>VLOOKUP(D1714, Products!A:D, 4, FALSE)</f>
        <v>2214</v>
      </c>
      <c r="P1714">
        <f>IFERROR(VLOOKUP(C1714, Customers!A:C, 3, FALSE), 0)</f>
        <v>55</v>
      </c>
      <c r="Q1714">
        <f t="shared" si="26"/>
        <v>0.39508196721311473</v>
      </c>
    </row>
    <row r="1715" spans="1:17" x14ac:dyDescent="0.3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  <c r="L1715" t="str">
        <f>VLOOKUP(D1715, Products!A:C, 3, FALSE)</f>
        <v>Apparel</v>
      </c>
      <c r="M1715" t="str">
        <f>IFERROR(VLOOKUP(C1715, Customers!A:E, 5, FALSE), "Unknown")</f>
        <v>Retail</v>
      </c>
      <c r="N1715" t="str">
        <f>VLOOKUP(E1715, Sales_Reps!A:C, 3, FALSE)</f>
        <v>West</v>
      </c>
      <c r="O1715">
        <f>VLOOKUP(D1715, Products!A:D, 4, FALSE)</f>
        <v>391</v>
      </c>
      <c r="P1715">
        <f>IFERROR(VLOOKUP(C1715, Customers!A:C, 3, FALSE), 0)</f>
        <v>52</v>
      </c>
      <c r="Q1715">
        <f t="shared" si="26"/>
        <v>0.52317073170731709</v>
      </c>
    </row>
    <row r="1716" spans="1:17" x14ac:dyDescent="0.3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  <c r="L1716" t="str">
        <f>VLOOKUP(D1716, Products!A:C, 3, FALSE)</f>
        <v>Grocery</v>
      </c>
      <c r="M1716" t="str">
        <f>IFERROR(VLOOKUP(C1716, Customers!A:E, 5, FALSE), "Unknown")</f>
        <v>Retail</v>
      </c>
      <c r="N1716" t="str">
        <f>VLOOKUP(E1716, Sales_Reps!A:C, 3, FALSE)</f>
        <v>East</v>
      </c>
      <c r="O1716">
        <f>VLOOKUP(D1716, Products!A:D, 4, FALSE)</f>
        <v>1182</v>
      </c>
      <c r="P1716">
        <f>IFERROR(VLOOKUP(C1716, Customers!A:C, 3, FALSE), 0)</f>
        <v>53</v>
      </c>
      <c r="Q1716">
        <f t="shared" si="26"/>
        <v>0.50336134453781511</v>
      </c>
    </row>
    <row r="1717" spans="1:17" x14ac:dyDescent="0.3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  <c r="L1717" t="str">
        <f>VLOOKUP(D1717, Products!A:C, 3, FALSE)</f>
        <v>Electronics</v>
      </c>
      <c r="M1717" t="str">
        <f>IFERROR(VLOOKUP(C1717, Customers!A:E, 5, FALSE), "Unknown")</f>
        <v>SMB</v>
      </c>
      <c r="N1717" t="str">
        <f>VLOOKUP(E1717, Sales_Reps!A:C, 3, FALSE)</f>
        <v>South</v>
      </c>
      <c r="O1717">
        <f>VLOOKUP(D1717, Products!A:D, 4, FALSE)</f>
        <v>1559</v>
      </c>
      <c r="P1717">
        <f>IFERROR(VLOOKUP(C1717, Customers!A:C, 3, FALSE), 0)</f>
        <v>43</v>
      </c>
      <c r="Q1717">
        <f t="shared" si="26"/>
        <v>0.59715762273901807</v>
      </c>
    </row>
    <row r="1718" spans="1:17" x14ac:dyDescent="0.3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  <c r="L1718" t="str">
        <f>VLOOKUP(D1718, Products!A:C, 3, FALSE)</f>
        <v>Electronics</v>
      </c>
      <c r="M1718" t="str">
        <f>IFERROR(VLOOKUP(C1718, Customers!A:E, 5, FALSE), "Unknown")</f>
        <v>Corporate</v>
      </c>
      <c r="N1718" t="str">
        <f>VLOOKUP(E1718, Sales_Reps!A:C, 3, FALSE)</f>
        <v>North</v>
      </c>
      <c r="O1718">
        <f>VLOOKUP(D1718, Products!A:D, 4, FALSE)</f>
        <v>128</v>
      </c>
      <c r="P1718">
        <f>IFERROR(VLOOKUP(C1718, Customers!A:C, 3, FALSE), 0)</f>
        <v>41</v>
      </c>
      <c r="Q1718">
        <f t="shared" si="26"/>
        <v>0.57333333333333336</v>
      </c>
    </row>
    <row r="1719" spans="1:17" x14ac:dyDescent="0.3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  <c r="L1719" t="str">
        <f>VLOOKUP(D1719, Products!A:C, 3, FALSE)</f>
        <v>Beauty</v>
      </c>
      <c r="M1719" t="str">
        <f>IFERROR(VLOOKUP(C1719, Customers!A:E, 5, FALSE), "Unknown")</f>
        <v>Retail</v>
      </c>
      <c r="N1719" t="str">
        <f>VLOOKUP(E1719, Sales_Reps!A:C, 3, FALSE)</f>
        <v>West</v>
      </c>
      <c r="O1719">
        <f>VLOOKUP(D1719, Products!A:D, 4, FALSE)</f>
        <v>2237</v>
      </c>
      <c r="P1719">
        <f>IFERROR(VLOOKUP(C1719, Customers!A:C, 3, FALSE), 0)</f>
        <v>46</v>
      </c>
      <c r="Q1719">
        <f t="shared" si="26"/>
        <v>0.56137254901960787</v>
      </c>
    </row>
    <row r="1720" spans="1:17" x14ac:dyDescent="0.3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  <c r="L1720" t="str">
        <f>VLOOKUP(D1720, Products!A:C, 3, FALSE)</f>
        <v>Grocery</v>
      </c>
      <c r="M1720" t="str">
        <f>IFERROR(VLOOKUP(C1720, Customers!A:E, 5, FALSE), "Unknown")</f>
        <v>Retail</v>
      </c>
      <c r="N1720" t="str">
        <f>VLOOKUP(E1720, Sales_Reps!A:C, 3, FALSE)</f>
        <v>South</v>
      </c>
      <c r="O1720">
        <f>VLOOKUP(D1720, Products!A:D, 4, FALSE)</f>
        <v>1435</v>
      </c>
      <c r="P1720">
        <f>IFERROR(VLOOKUP(C1720, Customers!A:C, 3, FALSE), 0)</f>
        <v>37</v>
      </c>
      <c r="Q1720">
        <f t="shared" si="26"/>
        <v>0.48007246376811596</v>
      </c>
    </row>
    <row r="1721" spans="1:17" x14ac:dyDescent="0.3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  <c r="L1721" t="str">
        <f>VLOOKUP(D1721, Products!A:C, 3, FALSE)</f>
        <v>Electronics</v>
      </c>
      <c r="M1721" t="str">
        <f>IFERROR(VLOOKUP(C1721, Customers!A:E, 5, FALSE), "Unknown")</f>
        <v>SMB</v>
      </c>
      <c r="N1721" t="str">
        <f>VLOOKUP(E1721, Sales_Reps!A:C, 3, FALSE)</f>
        <v>North</v>
      </c>
      <c r="O1721">
        <f>VLOOKUP(D1721, Products!A:D, 4, FALSE)</f>
        <v>2405</v>
      </c>
      <c r="P1721">
        <f>IFERROR(VLOOKUP(C1721, Customers!A:C, 3, FALSE), 0)</f>
        <v>65</v>
      </c>
      <c r="Q1721">
        <f t="shared" si="26"/>
        <v>0.54878048780487809</v>
      </c>
    </row>
    <row r="1722" spans="1:17" x14ac:dyDescent="0.3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  <c r="L1722" t="str">
        <f>VLOOKUP(D1722, Products!A:C, 3, FALSE)</f>
        <v>Sports</v>
      </c>
      <c r="M1722" t="str">
        <f>IFERROR(VLOOKUP(C1722, Customers!A:E, 5, FALSE), "Unknown")</f>
        <v>Corporate</v>
      </c>
      <c r="N1722" t="str">
        <f>VLOOKUP(E1722, Sales_Reps!A:C, 3, FALSE)</f>
        <v>South</v>
      </c>
      <c r="O1722">
        <f>VLOOKUP(D1722, Products!A:D, 4, FALSE)</f>
        <v>516</v>
      </c>
      <c r="P1722">
        <f>IFERROR(VLOOKUP(C1722, Customers!A:C, 3, FALSE), 0)</f>
        <v>41</v>
      </c>
      <c r="Q1722">
        <f t="shared" si="26"/>
        <v>0.4891089108910891</v>
      </c>
    </row>
    <row r="1723" spans="1:17" x14ac:dyDescent="0.3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  <c r="L1723" t="str">
        <f>VLOOKUP(D1723, Products!A:C, 3, FALSE)</f>
        <v>Electronics</v>
      </c>
      <c r="M1723" t="str">
        <f>IFERROR(VLOOKUP(C1723, Customers!A:E, 5, FALSE), "Unknown")</f>
        <v>Retail</v>
      </c>
      <c r="N1723" t="str">
        <f>VLOOKUP(E1723, Sales_Reps!A:C, 3, FALSE)</f>
        <v>East</v>
      </c>
      <c r="O1723">
        <f>VLOOKUP(D1723, Products!A:D, 4, FALSE)</f>
        <v>1259</v>
      </c>
      <c r="P1723">
        <f>IFERROR(VLOOKUP(C1723, Customers!A:C, 3, FALSE), 0)</f>
        <v>36</v>
      </c>
      <c r="Q1723">
        <f t="shared" si="26"/>
        <v>0.52669172932330832</v>
      </c>
    </row>
    <row r="1724" spans="1:17" x14ac:dyDescent="0.3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  <c r="L1724" t="str">
        <f>VLOOKUP(D1724, Products!A:C, 3, FALSE)</f>
        <v>Electronics</v>
      </c>
      <c r="M1724" t="str">
        <f>IFERROR(VLOOKUP(C1724, Customers!A:E, 5, FALSE), "Unknown")</f>
        <v>Retail</v>
      </c>
      <c r="N1724" t="str">
        <f>VLOOKUP(E1724, Sales_Reps!A:C, 3, FALSE)</f>
        <v>South</v>
      </c>
      <c r="O1724">
        <f>VLOOKUP(D1724, Products!A:D, 4, FALSE)</f>
        <v>2865</v>
      </c>
      <c r="P1724">
        <f>IFERROR(VLOOKUP(C1724, Customers!A:C, 3, FALSE), 0)</f>
        <v>34</v>
      </c>
      <c r="Q1724">
        <f t="shared" si="26"/>
        <v>0.27833753148614609</v>
      </c>
    </row>
    <row r="1725" spans="1:17" x14ac:dyDescent="0.3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  <c r="L1725" t="str">
        <f>VLOOKUP(D1725, Products!A:C, 3, FALSE)</f>
        <v>Apparel</v>
      </c>
      <c r="M1725" t="str">
        <f>IFERROR(VLOOKUP(C1725, Customers!A:E, 5, FALSE), "Unknown")</f>
        <v>SMB</v>
      </c>
      <c r="N1725" t="str">
        <f>VLOOKUP(E1725, Sales_Reps!A:C, 3, FALSE)</f>
        <v>North</v>
      </c>
      <c r="O1725">
        <f>VLOOKUP(D1725, Products!A:D, 4, FALSE)</f>
        <v>2509</v>
      </c>
      <c r="P1725">
        <f>IFERROR(VLOOKUP(C1725, Customers!A:C, 3, FALSE), 0)</f>
        <v>43</v>
      </c>
      <c r="Q1725">
        <f t="shared" si="26"/>
        <v>0.3069060773480663</v>
      </c>
    </row>
    <row r="1726" spans="1:17" x14ac:dyDescent="0.3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  <c r="L1726" t="str">
        <f>VLOOKUP(D1726, Products!A:C, 3, FALSE)</f>
        <v>Grocery</v>
      </c>
      <c r="M1726" t="str">
        <f>IFERROR(VLOOKUP(C1726, Customers!A:E, 5, FALSE), "Unknown")</f>
        <v>Retail</v>
      </c>
      <c r="N1726" t="str">
        <f>VLOOKUP(E1726, Sales_Reps!A:C, 3, FALSE)</f>
        <v>East</v>
      </c>
      <c r="O1726">
        <f>VLOOKUP(D1726, Products!A:D, 4, FALSE)</f>
        <v>1412</v>
      </c>
      <c r="P1726">
        <f>IFERROR(VLOOKUP(C1726, Customers!A:C, 3, FALSE), 0)</f>
        <v>38</v>
      </c>
      <c r="Q1726">
        <f t="shared" si="26"/>
        <v>0.37797356828193834</v>
      </c>
    </row>
    <row r="1727" spans="1:17" x14ac:dyDescent="0.3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  <c r="L1727" t="str">
        <f>VLOOKUP(D1727, Products!A:C, 3, FALSE)</f>
        <v>Grocery</v>
      </c>
      <c r="M1727" t="str">
        <f>IFERROR(VLOOKUP(C1727, Customers!A:E, 5, FALSE), "Unknown")</f>
        <v>Retail</v>
      </c>
      <c r="N1727" t="str">
        <f>VLOOKUP(E1727, Sales_Reps!A:C, 3, FALSE)</f>
        <v>South</v>
      </c>
      <c r="O1727">
        <f>VLOOKUP(D1727, Products!A:D, 4, FALSE)</f>
        <v>1412</v>
      </c>
      <c r="P1727">
        <f>IFERROR(VLOOKUP(C1727, Customers!A:C, 3, FALSE), 0)</f>
        <v>34</v>
      </c>
      <c r="Q1727">
        <f t="shared" si="26"/>
        <v>0.37797356828193834</v>
      </c>
    </row>
    <row r="1728" spans="1:17" x14ac:dyDescent="0.3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  <c r="L1728" t="str">
        <f>VLOOKUP(D1728, Products!A:C, 3, FALSE)</f>
        <v>Home</v>
      </c>
      <c r="M1728" t="str">
        <f>IFERROR(VLOOKUP(C1728, Customers!A:E, 5, FALSE), "Unknown")</f>
        <v>Retail</v>
      </c>
      <c r="N1728" t="str">
        <f>VLOOKUP(E1728, Sales_Reps!A:C, 3, FALSE)</f>
        <v>South</v>
      </c>
      <c r="O1728">
        <f>VLOOKUP(D1728, Products!A:D, 4, FALSE)</f>
        <v>1850</v>
      </c>
      <c r="P1728">
        <f>IFERROR(VLOOKUP(C1728, Customers!A:C, 3, FALSE), 0)</f>
        <v>41</v>
      </c>
      <c r="Q1728">
        <f t="shared" si="26"/>
        <v>0.59869848156182215</v>
      </c>
    </row>
    <row r="1729" spans="1:17" x14ac:dyDescent="0.3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  <c r="L1729" t="str">
        <f>VLOOKUP(D1729, Products!A:C, 3, FALSE)</f>
        <v>Sports</v>
      </c>
      <c r="M1729" t="str">
        <f>IFERROR(VLOOKUP(C1729, Customers!A:E, 5, FALSE), "Unknown")</f>
        <v>Retail</v>
      </c>
      <c r="N1729" t="str">
        <f>VLOOKUP(E1729, Sales_Reps!A:C, 3, FALSE)</f>
        <v>East</v>
      </c>
      <c r="O1729">
        <f>VLOOKUP(D1729, Products!A:D, 4, FALSE)</f>
        <v>147</v>
      </c>
      <c r="P1729">
        <f>IFERROR(VLOOKUP(C1729, Customers!A:C, 3, FALSE), 0)</f>
        <v>41</v>
      </c>
      <c r="Q1729">
        <f t="shared" si="26"/>
        <v>0.22631578947368422</v>
      </c>
    </row>
    <row r="1730" spans="1:17" x14ac:dyDescent="0.3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  <c r="L1730" t="str">
        <f>VLOOKUP(D1730, Products!A:C, 3, FALSE)</f>
        <v>Home</v>
      </c>
      <c r="M1730" t="str">
        <f>IFERROR(VLOOKUP(C1730, Customers!A:E, 5, FALSE), "Unknown")</f>
        <v>Corporate</v>
      </c>
      <c r="N1730" t="str">
        <f>VLOOKUP(E1730, Sales_Reps!A:C, 3, FALSE)</f>
        <v>West</v>
      </c>
      <c r="O1730">
        <f>VLOOKUP(D1730, Products!A:D, 4, FALSE)</f>
        <v>1143</v>
      </c>
      <c r="P1730">
        <f>IFERROR(VLOOKUP(C1730, Customers!A:C, 3, FALSE), 0)</f>
        <v>52</v>
      </c>
      <c r="Q1730">
        <f t="shared" si="26"/>
        <v>0.43694581280788175</v>
      </c>
    </row>
    <row r="1731" spans="1:17" x14ac:dyDescent="0.3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  <c r="L1731" t="str">
        <f>VLOOKUP(D1731, Products!A:C, 3, FALSE)</f>
        <v>Grocery</v>
      </c>
      <c r="M1731" t="str">
        <f>IFERROR(VLOOKUP(C1731, Customers!A:E, 5, FALSE), "Unknown")</f>
        <v>SMB</v>
      </c>
      <c r="N1731" t="str">
        <f>VLOOKUP(E1731, Sales_Reps!A:C, 3, FALSE)</f>
        <v>East</v>
      </c>
      <c r="O1731">
        <f>VLOOKUP(D1731, Products!A:D, 4, FALSE)</f>
        <v>2027</v>
      </c>
      <c r="P1731">
        <f>IFERROR(VLOOKUP(C1731, Customers!A:C, 3, FALSE), 0)</f>
        <v>30</v>
      </c>
      <c r="Q1731">
        <f t="shared" ref="Q1731:Q1794" si="27">(G1731 - O1731) / G1731</f>
        <v>0.50196560196560192</v>
      </c>
    </row>
    <row r="1732" spans="1:17" x14ac:dyDescent="0.3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  <c r="L1732" t="str">
        <f>VLOOKUP(D1732, Products!A:C, 3, FALSE)</f>
        <v>Beauty</v>
      </c>
      <c r="M1732" t="str">
        <f>IFERROR(VLOOKUP(C1732, Customers!A:E, 5, FALSE), "Unknown")</f>
        <v>SMB</v>
      </c>
      <c r="N1732" t="str">
        <f>VLOOKUP(E1732, Sales_Reps!A:C, 3, FALSE)</f>
        <v>North</v>
      </c>
      <c r="O1732">
        <f>VLOOKUP(D1732, Products!A:D, 4, FALSE)</f>
        <v>1219</v>
      </c>
      <c r="P1732">
        <f>IFERROR(VLOOKUP(C1732, Customers!A:C, 3, FALSE), 0)</f>
        <v>48</v>
      </c>
      <c r="Q1732">
        <f t="shared" si="27"/>
        <v>0.46768558951965067</v>
      </c>
    </row>
    <row r="1733" spans="1:17" x14ac:dyDescent="0.3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  <c r="L1733" t="str">
        <f>VLOOKUP(D1733, Products!A:C, 3, FALSE)</f>
        <v>Home</v>
      </c>
      <c r="M1733" t="str">
        <f>IFERROR(VLOOKUP(C1733, Customers!A:E, 5, FALSE), "Unknown")</f>
        <v>Retail</v>
      </c>
      <c r="N1733" t="str">
        <f>VLOOKUP(E1733, Sales_Reps!A:C, 3, FALSE)</f>
        <v>East</v>
      </c>
      <c r="O1733">
        <f>VLOOKUP(D1733, Products!A:D, 4, FALSE)</f>
        <v>2135</v>
      </c>
      <c r="P1733">
        <f>IFERROR(VLOOKUP(C1733, Customers!A:C, 3, FALSE), 0)</f>
        <v>22</v>
      </c>
      <c r="Q1733">
        <f t="shared" si="27"/>
        <v>0.42761394101876676</v>
      </c>
    </row>
    <row r="1734" spans="1:17" x14ac:dyDescent="0.3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  <c r="L1734" t="str">
        <f>VLOOKUP(D1734, Products!A:C, 3, FALSE)</f>
        <v>Apparel</v>
      </c>
      <c r="M1734" t="str">
        <f>IFERROR(VLOOKUP(C1734, Customers!A:E, 5, FALSE), "Unknown")</f>
        <v>Retail</v>
      </c>
      <c r="N1734" t="str">
        <f>VLOOKUP(E1734, Sales_Reps!A:C, 3, FALSE)</f>
        <v>North</v>
      </c>
      <c r="O1734">
        <f>VLOOKUP(D1734, Products!A:D, 4, FALSE)</f>
        <v>396</v>
      </c>
      <c r="P1734">
        <f>IFERROR(VLOOKUP(C1734, Customers!A:C, 3, FALSE), 0)</f>
        <v>22</v>
      </c>
      <c r="Q1734">
        <f t="shared" si="27"/>
        <v>0.36129032258064514</v>
      </c>
    </row>
    <row r="1735" spans="1:17" x14ac:dyDescent="0.3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  <c r="L1735" t="str">
        <f>VLOOKUP(D1735, Products!A:C, 3, FALSE)</f>
        <v>Electronics</v>
      </c>
      <c r="M1735" t="str">
        <f>IFERROR(VLOOKUP(C1735, Customers!A:E, 5, FALSE), "Unknown")</f>
        <v>Corporate</v>
      </c>
      <c r="N1735" t="str">
        <f>VLOOKUP(E1735, Sales_Reps!A:C, 3, FALSE)</f>
        <v>South</v>
      </c>
      <c r="O1735">
        <f>VLOOKUP(D1735, Products!A:D, 4, FALSE)</f>
        <v>1149</v>
      </c>
      <c r="P1735">
        <f>IFERROR(VLOOKUP(C1735, Customers!A:C, 3, FALSE), 0)</f>
        <v>27</v>
      </c>
      <c r="Q1735">
        <f t="shared" si="27"/>
        <v>0.56477272727272732</v>
      </c>
    </row>
    <row r="1736" spans="1:17" x14ac:dyDescent="0.3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  <c r="L1736" t="str">
        <f>VLOOKUP(D1736, Products!A:C, 3, FALSE)</f>
        <v>Grocery</v>
      </c>
      <c r="M1736" t="str">
        <f>IFERROR(VLOOKUP(C1736, Customers!A:E, 5, FALSE), "Unknown")</f>
        <v>SMB</v>
      </c>
      <c r="N1736" t="str">
        <f>VLOOKUP(E1736, Sales_Reps!A:C, 3, FALSE)</f>
        <v>North</v>
      </c>
      <c r="O1736">
        <f>VLOOKUP(D1736, Products!A:D, 4, FALSE)</f>
        <v>2214</v>
      </c>
      <c r="P1736">
        <f>IFERROR(VLOOKUP(C1736, Customers!A:C, 3, FALSE), 0)</f>
        <v>57</v>
      </c>
      <c r="Q1736">
        <f t="shared" si="27"/>
        <v>0.39508196721311473</v>
      </c>
    </row>
    <row r="1737" spans="1:17" x14ac:dyDescent="0.3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  <c r="L1737" t="str">
        <f>VLOOKUP(D1737, Products!A:C, 3, FALSE)</f>
        <v>Apparel</v>
      </c>
      <c r="M1737" t="str">
        <f>IFERROR(VLOOKUP(C1737, Customers!A:E, 5, FALSE), "Unknown")</f>
        <v>Retail</v>
      </c>
      <c r="N1737" t="str">
        <f>VLOOKUP(E1737, Sales_Reps!A:C, 3, FALSE)</f>
        <v>East</v>
      </c>
      <c r="O1737">
        <f>VLOOKUP(D1737, Products!A:D, 4, FALSE)</f>
        <v>391</v>
      </c>
      <c r="P1737">
        <f>IFERROR(VLOOKUP(C1737, Customers!A:C, 3, FALSE), 0)</f>
        <v>50</v>
      </c>
      <c r="Q1737">
        <f t="shared" si="27"/>
        <v>0.52317073170731709</v>
      </c>
    </row>
    <row r="1738" spans="1:17" x14ac:dyDescent="0.3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  <c r="L1738" t="str">
        <f>VLOOKUP(D1738, Products!A:C, 3, FALSE)</f>
        <v>Apparel</v>
      </c>
      <c r="M1738" t="str">
        <f>IFERROR(VLOOKUP(C1738, Customers!A:E, 5, FALSE), "Unknown")</f>
        <v>Retail</v>
      </c>
      <c r="N1738" t="str">
        <f>VLOOKUP(E1738, Sales_Reps!A:C, 3, FALSE)</f>
        <v>East</v>
      </c>
      <c r="O1738">
        <f>VLOOKUP(D1738, Products!A:D, 4, FALSE)</f>
        <v>1173</v>
      </c>
      <c r="P1738">
        <f>IFERROR(VLOOKUP(C1738, Customers!A:C, 3, FALSE), 0)</f>
        <v>29</v>
      </c>
      <c r="Q1738">
        <f t="shared" si="27"/>
        <v>0.52701612903225803</v>
      </c>
    </row>
    <row r="1739" spans="1:17" x14ac:dyDescent="0.3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  <c r="L1739" t="str">
        <f>VLOOKUP(D1739, Products!A:C, 3, FALSE)</f>
        <v>Beauty</v>
      </c>
      <c r="M1739" t="str">
        <f>IFERROR(VLOOKUP(C1739, Customers!A:E, 5, FALSE), "Unknown")</f>
        <v>Retail</v>
      </c>
      <c r="N1739" t="str">
        <f>VLOOKUP(E1739, Sales_Reps!A:C, 3, FALSE)</f>
        <v>West</v>
      </c>
      <c r="O1739">
        <f>VLOOKUP(D1739, Products!A:D, 4, FALSE)</f>
        <v>2617</v>
      </c>
      <c r="P1739">
        <f>IFERROR(VLOOKUP(C1739, Customers!A:C, 3, FALSE), 0)</f>
        <v>32</v>
      </c>
      <c r="Q1739">
        <f t="shared" si="27"/>
        <v>0.56957236842105263</v>
      </c>
    </row>
    <row r="1740" spans="1:17" x14ac:dyDescent="0.3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  <c r="L1740" t="str">
        <f>VLOOKUP(D1740, Products!A:C, 3, FALSE)</f>
        <v>Sports</v>
      </c>
      <c r="M1740" t="str">
        <f>IFERROR(VLOOKUP(C1740, Customers!A:E, 5, FALSE), "Unknown")</f>
        <v>SMB</v>
      </c>
      <c r="N1740" t="str">
        <f>VLOOKUP(E1740, Sales_Reps!A:C, 3, FALSE)</f>
        <v>East</v>
      </c>
      <c r="O1740">
        <f>VLOOKUP(D1740, Products!A:D, 4, FALSE)</f>
        <v>147</v>
      </c>
      <c r="P1740">
        <f>IFERROR(VLOOKUP(C1740, Customers!A:C, 3, FALSE), 0)</f>
        <v>39</v>
      </c>
      <c r="Q1740">
        <f t="shared" si="27"/>
        <v>0.22631578947368422</v>
      </c>
    </row>
    <row r="1741" spans="1:17" x14ac:dyDescent="0.3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  <c r="L1741" t="str">
        <f>VLOOKUP(D1741, Products!A:C, 3, FALSE)</f>
        <v>Sports</v>
      </c>
      <c r="M1741" t="str">
        <f>IFERROR(VLOOKUP(C1741, Customers!A:E, 5, FALSE), "Unknown")</f>
        <v>Retail</v>
      </c>
      <c r="N1741" t="str">
        <f>VLOOKUP(E1741, Sales_Reps!A:C, 3, FALSE)</f>
        <v>West</v>
      </c>
      <c r="O1741">
        <f>VLOOKUP(D1741, Products!A:D, 4, FALSE)</f>
        <v>1860</v>
      </c>
      <c r="P1741">
        <f>IFERROR(VLOOKUP(C1741, Customers!A:C, 3, FALSE), 0)</f>
        <v>41</v>
      </c>
      <c r="Q1741">
        <f t="shared" si="27"/>
        <v>0.50793650793650791</v>
      </c>
    </row>
    <row r="1742" spans="1:17" x14ac:dyDescent="0.3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  <c r="L1742" t="str">
        <f>VLOOKUP(D1742, Products!A:C, 3, FALSE)</f>
        <v>Home</v>
      </c>
      <c r="M1742" t="str">
        <f>IFERROR(VLOOKUP(C1742, Customers!A:E, 5, FALSE), "Unknown")</f>
        <v>Retail</v>
      </c>
      <c r="N1742" t="str">
        <f>VLOOKUP(E1742, Sales_Reps!A:C, 3, FALSE)</f>
        <v>North</v>
      </c>
      <c r="O1742">
        <f>VLOOKUP(D1742, Products!A:D, 4, FALSE)</f>
        <v>1556</v>
      </c>
      <c r="P1742">
        <f>IFERROR(VLOOKUP(C1742, Customers!A:C, 3, FALSE), 0)</f>
        <v>34</v>
      </c>
      <c r="Q1742">
        <f t="shared" si="27"/>
        <v>0.52123076923076928</v>
      </c>
    </row>
    <row r="1743" spans="1:17" x14ac:dyDescent="0.3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  <c r="L1743" t="str">
        <f>VLOOKUP(D1743, Products!A:C, 3, FALSE)</f>
        <v>Home</v>
      </c>
      <c r="M1743" t="str">
        <f>IFERROR(VLOOKUP(C1743, Customers!A:E, 5, FALSE), "Unknown")</f>
        <v>SMB</v>
      </c>
      <c r="N1743" t="str">
        <f>VLOOKUP(E1743, Sales_Reps!A:C, 3, FALSE)</f>
        <v>North</v>
      </c>
      <c r="O1743">
        <f>VLOOKUP(D1743, Products!A:D, 4, FALSE)</f>
        <v>1143</v>
      </c>
      <c r="P1743">
        <f>IFERROR(VLOOKUP(C1743, Customers!A:C, 3, FALSE), 0)</f>
        <v>34</v>
      </c>
      <c r="Q1743">
        <f t="shared" si="27"/>
        <v>0.43694581280788175</v>
      </c>
    </row>
    <row r="1744" spans="1:17" x14ac:dyDescent="0.3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  <c r="L1744" t="str">
        <f>VLOOKUP(D1744, Products!A:C, 3, FALSE)</f>
        <v>Beauty</v>
      </c>
      <c r="M1744" t="str">
        <f>IFERROR(VLOOKUP(C1744, Customers!A:E, 5, FALSE), "Unknown")</f>
        <v>Retail</v>
      </c>
      <c r="N1744" t="str">
        <f>VLOOKUP(E1744, Sales_Reps!A:C, 3, FALSE)</f>
        <v>South</v>
      </c>
      <c r="O1744">
        <f>VLOOKUP(D1744, Products!A:D, 4, FALSE)</f>
        <v>2768</v>
      </c>
      <c r="P1744">
        <f>IFERROR(VLOOKUP(C1744, Customers!A:C, 3, FALSE), 0)</f>
        <v>65</v>
      </c>
      <c r="Q1744">
        <f t="shared" si="27"/>
        <v>0.43278688524590164</v>
      </c>
    </row>
    <row r="1745" spans="1:17" x14ac:dyDescent="0.3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  <c r="L1745" t="str">
        <f>VLOOKUP(D1745, Products!A:C, 3, FALSE)</f>
        <v>Beauty</v>
      </c>
      <c r="M1745" t="str">
        <f>IFERROR(VLOOKUP(C1745, Customers!A:E, 5, FALSE), "Unknown")</f>
        <v>SMB</v>
      </c>
      <c r="N1745" t="str">
        <f>VLOOKUP(E1745, Sales_Reps!A:C, 3, FALSE)</f>
        <v>East</v>
      </c>
      <c r="O1745">
        <f>VLOOKUP(D1745, Products!A:D, 4, FALSE)</f>
        <v>1728</v>
      </c>
      <c r="P1745">
        <f>IFERROR(VLOOKUP(C1745, Customers!A:C, 3, FALSE), 0)</f>
        <v>29</v>
      </c>
      <c r="Q1745">
        <f t="shared" si="27"/>
        <v>0.48417910447761192</v>
      </c>
    </row>
    <row r="1746" spans="1:17" x14ac:dyDescent="0.3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  <c r="L1746" t="str">
        <f>VLOOKUP(D1746, Products!A:C, 3, FALSE)</f>
        <v>Sports</v>
      </c>
      <c r="M1746" t="str">
        <f>IFERROR(VLOOKUP(C1746, Customers!A:E, 5, FALSE), "Unknown")</f>
        <v>Retail</v>
      </c>
      <c r="N1746" t="str">
        <f>VLOOKUP(E1746, Sales_Reps!A:C, 3, FALSE)</f>
        <v>West</v>
      </c>
      <c r="O1746">
        <f>VLOOKUP(D1746, Products!A:D, 4, FALSE)</f>
        <v>2028</v>
      </c>
      <c r="P1746">
        <f>IFERROR(VLOOKUP(C1746, Customers!A:C, 3, FALSE), 0)</f>
        <v>59</v>
      </c>
      <c r="Q1746">
        <f t="shared" si="27"/>
        <v>0.29090909090909089</v>
      </c>
    </row>
    <row r="1747" spans="1:17" x14ac:dyDescent="0.3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  <c r="L1747" t="str">
        <f>VLOOKUP(D1747, Products!A:C, 3, FALSE)</f>
        <v>Beauty</v>
      </c>
      <c r="M1747" t="str">
        <f>IFERROR(VLOOKUP(C1747, Customers!A:E, 5, FALSE), "Unknown")</f>
        <v>Retail</v>
      </c>
      <c r="N1747" t="str">
        <f>VLOOKUP(E1747, Sales_Reps!A:C, 3, FALSE)</f>
        <v>East</v>
      </c>
      <c r="O1747">
        <f>VLOOKUP(D1747, Products!A:D, 4, FALSE)</f>
        <v>2420</v>
      </c>
      <c r="P1747">
        <f>IFERROR(VLOOKUP(C1747, Customers!A:C, 3, FALSE), 0)</f>
        <v>42</v>
      </c>
      <c r="Q1747">
        <f t="shared" si="27"/>
        <v>0.29855072463768118</v>
      </c>
    </row>
    <row r="1748" spans="1:17" x14ac:dyDescent="0.3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  <c r="L1748" t="str">
        <f>VLOOKUP(D1748, Products!A:C, 3, FALSE)</f>
        <v>Grocery</v>
      </c>
      <c r="M1748" t="str">
        <f>IFERROR(VLOOKUP(C1748, Customers!A:E, 5, FALSE), "Unknown")</f>
        <v>SMB</v>
      </c>
      <c r="N1748" t="str">
        <f>VLOOKUP(E1748, Sales_Reps!A:C, 3, FALSE)</f>
        <v>South</v>
      </c>
      <c r="O1748">
        <f>VLOOKUP(D1748, Products!A:D, 4, FALSE)</f>
        <v>1203</v>
      </c>
      <c r="P1748">
        <f>IFERROR(VLOOKUP(C1748, Customers!A:C, 3, FALSE), 0)</f>
        <v>44</v>
      </c>
      <c r="Q1748">
        <f t="shared" si="27"/>
        <v>0.47004405286343615</v>
      </c>
    </row>
    <row r="1749" spans="1:17" x14ac:dyDescent="0.3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  <c r="L1749" t="str">
        <f>VLOOKUP(D1749, Products!A:C, 3, FALSE)</f>
        <v>Grocery</v>
      </c>
      <c r="M1749" t="str">
        <f>IFERROR(VLOOKUP(C1749, Customers!A:E, 5, FALSE), "Unknown")</f>
        <v>SMB</v>
      </c>
      <c r="N1749" t="str">
        <f>VLOOKUP(E1749, Sales_Reps!A:C, 3, FALSE)</f>
        <v>North</v>
      </c>
      <c r="O1749">
        <f>VLOOKUP(D1749, Products!A:D, 4, FALSE)</f>
        <v>2214</v>
      </c>
      <c r="P1749">
        <f>IFERROR(VLOOKUP(C1749, Customers!A:C, 3, FALSE), 0)</f>
        <v>29</v>
      </c>
      <c r="Q1749">
        <f t="shared" si="27"/>
        <v>0.39508196721311473</v>
      </c>
    </row>
    <row r="1750" spans="1:17" x14ac:dyDescent="0.3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  <c r="L1750" t="str">
        <f>VLOOKUP(D1750, Products!A:C, 3, FALSE)</f>
        <v>Beauty</v>
      </c>
      <c r="M1750" t="str">
        <f>IFERROR(VLOOKUP(C1750, Customers!A:E, 5, FALSE), "Unknown")</f>
        <v>Retail</v>
      </c>
      <c r="N1750" t="str">
        <f>VLOOKUP(E1750, Sales_Reps!A:C, 3, FALSE)</f>
        <v>North</v>
      </c>
      <c r="O1750">
        <f>VLOOKUP(D1750, Products!A:D, 4, FALSE)</f>
        <v>1626</v>
      </c>
      <c r="P1750">
        <f>IFERROR(VLOOKUP(C1750, Customers!A:C, 3, FALSE), 0)</f>
        <v>53</v>
      </c>
      <c r="Q1750">
        <f t="shared" si="27"/>
        <v>0.46158940397350995</v>
      </c>
    </row>
    <row r="1751" spans="1:17" x14ac:dyDescent="0.3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  <c r="L1751" t="str">
        <f>VLOOKUP(D1751, Products!A:C, 3, FALSE)</f>
        <v>Home</v>
      </c>
      <c r="M1751" t="str">
        <f>IFERROR(VLOOKUP(C1751, Customers!A:E, 5, FALSE), "Unknown")</f>
        <v>Retail</v>
      </c>
      <c r="N1751" t="str">
        <f>VLOOKUP(E1751, Sales_Reps!A:C, 3, FALSE)</f>
        <v>South</v>
      </c>
      <c r="O1751">
        <f>VLOOKUP(D1751, Products!A:D, 4, FALSE)</f>
        <v>519</v>
      </c>
      <c r="P1751">
        <f>IFERROR(VLOOKUP(C1751, Customers!A:C, 3, FALSE), 0)</f>
        <v>54</v>
      </c>
      <c r="Q1751">
        <f t="shared" si="27"/>
        <v>0.51944444444444449</v>
      </c>
    </row>
    <row r="1752" spans="1:17" x14ac:dyDescent="0.3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  <c r="L1752" t="str">
        <f>VLOOKUP(D1752, Products!A:C, 3, FALSE)</f>
        <v>Grocery</v>
      </c>
      <c r="M1752" t="str">
        <f>IFERROR(VLOOKUP(C1752, Customers!A:E, 5, FALSE), "Unknown")</f>
        <v>SMB</v>
      </c>
      <c r="N1752" t="str">
        <f>VLOOKUP(E1752, Sales_Reps!A:C, 3, FALSE)</f>
        <v>South</v>
      </c>
      <c r="O1752">
        <f>VLOOKUP(D1752, Products!A:D, 4, FALSE)</f>
        <v>1412</v>
      </c>
      <c r="P1752">
        <f>IFERROR(VLOOKUP(C1752, Customers!A:C, 3, FALSE), 0)</f>
        <v>61</v>
      </c>
      <c r="Q1752">
        <f t="shared" si="27"/>
        <v>0.37797356828193834</v>
      </c>
    </row>
    <row r="1753" spans="1:17" x14ac:dyDescent="0.3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  <c r="L1753" t="str">
        <f>VLOOKUP(D1753, Products!A:C, 3, FALSE)</f>
        <v>Apparel</v>
      </c>
      <c r="M1753" t="str">
        <f>IFERROR(VLOOKUP(C1753, Customers!A:E, 5, FALSE), "Unknown")</f>
        <v>SMB</v>
      </c>
      <c r="N1753" t="str">
        <f>VLOOKUP(E1753, Sales_Reps!A:C, 3, FALSE)</f>
        <v>South</v>
      </c>
      <c r="O1753">
        <f>VLOOKUP(D1753, Products!A:D, 4, FALSE)</f>
        <v>396</v>
      </c>
      <c r="P1753">
        <f>IFERROR(VLOOKUP(C1753, Customers!A:C, 3, FALSE), 0)</f>
        <v>54</v>
      </c>
      <c r="Q1753">
        <f t="shared" si="27"/>
        <v>0.36129032258064514</v>
      </c>
    </row>
    <row r="1754" spans="1:17" x14ac:dyDescent="0.3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  <c r="L1754" t="str">
        <f>VLOOKUP(D1754, Products!A:C, 3, FALSE)</f>
        <v>Grocery</v>
      </c>
      <c r="M1754" t="str">
        <f>IFERROR(VLOOKUP(C1754, Customers!A:E, 5, FALSE), "Unknown")</f>
        <v>Retail</v>
      </c>
      <c r="N1754" t="str">
        <f>VLOOKUP(E1754, Sales_Reps!A:C, 3, FALSE)</f>
        <v>South</v>
      </c>
      <c r="O1754">
        <f>VLOOKUP(D1754, Products!A:D, 4, FALSE)</f>
        <v>2911</v>
      </c>
      <c r="P1754">
        <f>IFERROR(VLOOKUP(C1754, Customers!A:C, 3, FALSE), 0)</f>
        <v>52</v>
      </c>
      <c r="Q1754">
        <f t="shared" si="27"/>
        <v>0.28300492610837441</v>
      </c>
    </row>
    <row r="1755" spans="1:17" x14ac:dyDescent="0.3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  <c r="L1755" t="str">
        <f>VLOOKUP(D1755, Products!A:C, 3, FALSE)</f>
        <v>Grocery</v>
      </c>
      <c r="M1755" t="str">
        <f>IFERROR(VLOOKUP(C1755, Customers!A:E, 5, FALSE), "Unknown")</f>
        <v>Corporate</v>
      </c>
      <c r="N1755" t="str">
        <f>VLOOKUP(E1755, Sales_Reps!A:C, 3, FALSE)</f>
        <v>South</v>
      </c>
      <c r="O1755">
        <f>VLOOKUP(D1755, Products!A:D, 4, FALSE)</f>
        <v>2436</v>
      </c>
      <c r="P1755">
        <f>IFERROR(VLOOKUP(C1755, Customers!A:C, 3, FALSE), 0)</f>
        <v>29</v>
      </c>
      <c r="Q1755">
        <f t="shared" si="27"/>
        <v>0.35555555555555557</v>
      </c>
    </row>
    <row r="1756" spans="1:17" x14ac:dyDescent="0.3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  <c r="L1756" t="str">
        <f>VLOOKUP(D1756, Products!A:C, 3, FALSE)</f>
        <v>Grocery</v>
      </c>
      <c r="M1756" t="str">
        <f>IFERROR(VLOOKUP(C1756, Customers!A:E, 5, FALSE), "Unknown")</f>
        <v>SMB</v>
      </c>
      <c r="N1756" t="str">
        <f>VLOOKUP(E1756, Sales_Reps!A:C, 3, FALSE)</f>
        <v>East</v>
      </c>
      <c r="O1756">
        <f>VLOOKUP(D1756, Products!A:D, 4, FALSE)</f>
        <v>1182</v>
      </c>
      <c r="P1756">
        <f>IFERROR(VLOOKUP(C1756, Customers!A:C, 3, FALSE), 0)</f>
        <v>55</v>
      </c>
      <c r="Q1756">
        <f t="shared" si="27"/>
        <v>0.50336134453781511</v>
      </c>
    </row>
    <row r="1757" spans="1:17" x14ac:dyDescent="0.3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  <c r="L1757" t="str">
        <f>VLOOKUP(D1757, Products!A:C, 3, FALSE)</f>
        <v>Grocery</v>
      </c>
      <c r="M1757" t="str">
        <f>IFERROR(VLOOKUP(C1757, Customers!A:E, 5, FALSE), "Unknown")</f>
        <v>Retail</v>
      </c>
      <c r="N1757" t="str">
        <f>VLOOKUP(E1757, Sales_Reps!A:C, 3, FALSE)</f>
        <v>West</v>
      </c>
      <c r="O1757">
        <f>VLOOKUP(D1757, Products!A:D, 4, FALSE)</f>
        <v>2027</v>
      </c>
      <c r="P1757">
        <f>IFERROR(VLOOKUP(C1757, Customers!A:C, 3, FALSE), 0)</f>
        <v>38</v>
      </c>
      <c r="Q1757">
        <f t="shared" si="27"/>
        <v>0.50196560196560192</v>
      </c>
    </row>
    <row r="1758" spans="1:17" x14ac:dyDescent="0.3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  <c r="L1758" t="str">
        <f>VLOOKUP(D1758, Products!A:C, 3, FALSE)</f>
        <v>Electronics</v>
      </c>
      <c r="M1758" t="str">
        <f>IFERROR(VLOOKUP(C1758, Customers!A:E, 5, FALSE), "Unknown")</f>
        <v>Retail</v>
      </c>
      <c r="N1758" t="str">
        <f>VLOOKUP(E1758, Sales_Reps!A:C, 3, FALSE)</f>
        <v>East</v>
      </c>
      <c r="O1758">
        <f>VLOOKUP(D1758, Products!A:D, 4, FALSE)</f>
        <v>1149</v>
      </c>
      <c r="P1758">
        <f>IFERROR(VLOOKUP(C1758, Customers!A:C, 3, FALSE), 0)</f>
        <v>29</v>
      </c>
      <c r="Q1758">
        <f t="shared" si="27"/>
        <v>0.56477272727272732</v>
      </c>
    </row>
    <row r="1759" spans="1:17" x14ac:dyDescent="0.3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  <c r="L1759" t="str">
        <f>VLOOKUP(D1759, Products!A:C, 3, FALSE)</f>
        <v>Sports</v>
      </c>
      <c r="M1759" t="str">
        <f>IFERROR(VLOOKUP(C1759, Customers!A:E, 5, FALSE), "Unknown")</f>
        <v>Retail</v>
      </c>
      <c r="N1759" t="str">
        <f>VLOOKUP(E1759, Sales_Reps!A:C, 3, FALSE)</f>
        <v>West</v>
      </c>
      <c r="O1759">
        <f>VLOOKUP(D1759, Products!A:D, 4, FALSE)</f>
        <v>1860</v>
      </c>
      <c r="P1759">
        <f>IFERROR(VLOOKUP(C1759, Customers!A:C, 3, FALSE), 0)</f>
        <v>31</v>
      </c>
      <c r="Q1759">
        <f t="shared" si="27"/>
        <v>0.50793650793650791</v>
      </c>
    </row>
    <row r="1760" spans="1:17" x14ac:dyDescent="0.3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  <c r="L1760" t="str">
        <f>VLOOKUP(D1760, Products!A:C, 3, FALSE)</f>
        <v>Beauty</v>
      </c>
      <c r="M1760" t="str">
        <f>IFERROR(VLOOKUP(C1760, Customers!A:E, 5, FALSE), "Unknown")</f>
        <v>Corporate</v>
      </c>
      <c r="N1760" t="str">
        <f>VLOOKUP(E1760, Sales_Reps!A:C, 3, FALSE)</f>
        <v>South</v>
      </c>
      <c r="O1760">
        <f>VLOOKUP(D1760, Products!A:D, 4, FALSE)</f>
        <v>1728</v>
      </c>
      <c r="P1760">
        <f>IFERROR(VLOOKUP(C1760, Customers!A:C, 3, FALSE), 0)</f>
        <v>62</v>
      </c>
      <c r="Q1760">
        <f t="shared" si="27"/>
        <v>0.48417910447761192</v>
      </c>
    </row>
    <row r="1761" spans="1:17" x14ac:dyDescent="0.3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  <c r="L1761" t="str">
        <f>VLOOKUP(D1761, Products!A:C, 3, FALSE)</f>
        <v>Apparel</v>
      </c>
      <c r="M1761" t="str">
        <f>IFERROR(VLOOKUP(C1761, Customers!A:E, 5, FALSE), "Unknown")</f>
        <v>SMB</v>
      </c>
      <c r="N1761" t="str">
        <f>VLOOKUP(E1761, Sales_Reps!A:C, 3, FALSE)</f>
        <v>West</v>
      </c>
      <c r="O1761">
        <f>VLOOKUP(D1761, Products!A:D, 4, FALSE)</f>
        <v>1886</v>
      </c>
      <c r="P1761">
        <f>IFERROR(VLOOKUP(C1761, Customers!A:C, 3, FALSE), 0)</f>
        <v>35</v>
      </c>
      <c r="Q1761">
        <f t="shared" si="27"/>
        <v>0.4031645569620253</v>
      </c>
    </row>
    <row r="1762" spans="1:17" x14ac:dyDescent="0.3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  <c r="L1762" t="str">
        <f>VLOOKUP(D1762, Products!A:C, 3, FALSE)</f>
        <v>Sports</v>
      </c>
      <c r="M1762" t="str">
        <f>IFERROR(VLOOKUP(C1762, Customers!A:E, 5, FALSE), "Unknown")</f>
        <v>SMB</v>
      </c>
      <c r="N1762" t="str">
        <f>VLOOKUP(E1762, Sales_Reps!A:C, 3, FALSE)</f>
        <v>North</v>
      </c>
      <c r="O1762">
        <f>VLOOKUP(D1762, Products!A:D, 4, FALSE)</f>
        <v>2028</v>
      </c>
      <c r="P1762">
        <f>IFERROR(VLOOKUP(C1762, Customers!A:C, 3, FALSE), 0)</f>
        <v>36</v>
      </c>
      <c r="Q1762">
        <f t="shared" si="27"/>
        <v>0.29090909090909089</v>
      </c>
    </row>
    <row r="1763" spans="1:17" x14ac:dyDescent="0.3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  <c r="L1763" t="str">
        <f>VLOOKUP(D1763, Products!A:C, 3, FALSE)</f>
        <v>Electronics</v>
      </c>
      <c r="M1763" t="str">
        <f>IFERROR(VLOOKUP(C1763, Customers!A:E, 5, FALSE), "Unknown")</f>
        <v>Corporate</v>
      </c>
      <c r="N1763" t="str">
        <f>VLOOKUP(E1763, Sales_Reps!A:C, 3, FALSE)</f>
        <v>South</v>
      </c>
      <c r="O1763">
        <f>VLOOKUP(D1763, Products!A:D, 4, FALSE)</f>
        <v>128</v>
      </c>
      <c r="P1763">
        <f>IFERROR(VLOOKUP(C1763, Customers!A:C, 3, FALSE), 0)</f>
        <v>43</v>
      </c>
      <c r="Q1763">
        <f t="shared" si="27"/>
        <v>0.57333333333333336</v>
      </c>
    </row>
    <row r="1764" spans="1:17" x14ac:dyDescent="0.3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  <c r="L1764" t="str">
        <f>VLOOKUP(D1764, Products!A:C, 3, FALSE)</f>
        <v>Sports</v>
      </c>
      <c r="M1764" t="str">
        <f>IFERROR(VLOOKUP(C1764, Customers!A:E, 5, FALSE), "Unknown")</f>
        <v>Corporate</v>
      </c>
      <c r="N1764" t="str">
        <f>VLOOKUP(E1764, Sales_Reps!A:C, 3, FALSE)</f>
        <v>East</v>
      </c>
      <c r="O1764">
        <f>VLOOKUP(D1764, Products!A:D, 4, FALSE)</f>
        <v>147</v>
      </c>
      <c r="P1764">
        <f>IFERROR(VLOOKUP(C1764, Customers!A:C, 3, FALSE), 0)</f>
        <v>29</v>
      </c>
      <c r="Q1764">
        <f t="shared" si="27"/>
        <v>0.22631578947368422</v>
      </c>
    </row>
    <row r="1765" spans="1:17" x14ac:dyDescent="0.3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  <c r="L1765" t="str">
        <f>VLOOKUP(D1765, Products!A:C, 3, FALSE)</f>
        <v>Sports</v>
      </c>
      <c r="M1765" t="str">
        <f>IFERROR(VLOOKUP(C1765, Customers!A:E, 5, FALSE), "Unknown")</f>
        <v>Retail</v>
      </c>
      <c r="N1765" t="str">
        <f>VLOOKUP(E1765, Sales_Reps!A:C, 3, FALSE)</f>
        <v>East</v>
      </c>
      <c r="O1765">
        <f>VLOOKUP(D1765, Products!A:D, 4, FALSE)</f>
        <v>516</v>
      </c>
      <c r="P1765">
        <f>IFERROR(VLOOKUP(C1765, Customers!A:C, 3, FALSE), 0)</f>
        <v>65</v>
      </c>
      <c r="Q1765">
        <f t="shared" si="27"/>
        <v>0.4891089108910891</v>
      </c>
    </row>
    <row r="1766" spans="1:17" x14ac:dyDescent="0.3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  <c r="L1766" t="str">
        <f>VLOOKUP(D1766, Products!A:C, 3, FALSE)</f>
        <v>Sports</v>
      </c>
      <c r="M1766" t="str">
        <f>IFERROR(VLOOKUP(C1766, Customers!A:E, 5, FALSE), "Unknown")</f>
        <v>SMB</v>
      </c>
      <c r="N1766" t="str">
        <f>VLOOKUP(E1766, Sales_Reps!A:C, 3, FALSE)</f>
        <v>North</v>
      </c>
      <c r="O1766">
        <f>VLOOKUP(D1766, Products!A:D, 4, FALSE)</f>
        <v>2467</v>
      </c>
      <c r="P1766">
        <f>IFERROR(VLOOKUP(C1766, Customers!A:C, 3, FALSE), 0)</f>
        <v>50</v>
      </c>
      <c r="Q1766">
        <f t="shared" si="27"/>
        <v>0.28492753623188405</v>
      </c>
    </row>
    <row r="1767" spans="1:17" x14ac:dyDescent="0.3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  <c r="L1767" t="str">
        <f>VLOOKUP(D1767, Products!A:C, 3, FALSE)</f>
        <v>Electronics</v>
      </c>
      <c r="M1767" t="str">
        <f>IFERROR(VLOOKUP(C1767, Customers!A:E, 5, FALSE), "Unknown")</f>
        <v>Corporate</v>
      </c>
      <c r="N1767" t="str">
        <f>VLOOKUP(E1767, Sales_Reps!A:C, 3, FALSE)</f>
        <v>North</v>
      </c>
      <c r="O1767">
        <f>VLOOKUP(D1767, Products!A:D, 4, FALSE)</f>
        <v>128</v>
      </c>
      <c r="P1767">
        <f>IFERROR(VLOOKUP(C1767, Customers!A:C, 3, FALSE), 0)</f>
        <v>52</v>
      </c>
      <c r="Q1767">
        <f t="shared" si="27"/>
        <v>0.57333333333333336</v>
      </c>
    </row>
    <row r="1768" spans="1:17" x14ac:dyDescent="0.3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  <c r="L1768" t="str">
        <f>VLOOKUP(D1768, Products!A:C, 3, FALSE)</f>
        <v>Home</v>
      </c>
      <c r="M1768" t="str">
        <f>IFERROR(VLOOKUP(C1768, Customers!A:E, 5, FALSE), "Unknown")</f>
        <v>SMB</v>
      </c>
      <c r="N1768" t="str">
        <f>VLOOKUP(E1768, Sales_Reps!A:C, 3, FALSE)</f>
        <v>East</v>
      </c>
      <c r="O1768">
        <f>VLOOKUP(D1768, Products!A:D, 4, FALSE)</f>
        <v>2135</v>
      </c>
      <c r="P1768">
        <f>IFERROR(VLOOKUP(C1768, Customers!A:C, 3, FALSE), 0)</f>
        <v>54</v>
      </c>
      <c r="Q1768">
        <f t="shared" si="27"/>
        <v>0.42761394101876676</v>
      </c>
    </row>
    <row r="1769" spans="1:17" x14ac:dyDescent="0.3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  <c r="L1769" t="str">
        <f>VLOOKUP(D1769, Products!A:C, 3, FALSE)</f>
        <v>Sports</v>
      </c>
      <c r="M1769" t="str">
        <f>IFERROR(VLOOKUP(C1769, Customers!A:E, 5, FALSE), "Unknown")</f>
        <v>Corporate</v>
      </c>
      <c r="N1769" t="str">
        <f>VLOOKUP(E1769, Sales_Reps!A:C, 3, FALSE)</f>
        <v>East</v>
      </c>
      <c r="O1769">
        <f>VLOOKUP(D1769, Products!A:D, 4, FALSE)</f>
        <v>974</v>
      </c>
      <c r="P1769">
        <f>IFERROR(VLOOKUP(C1769, Customers!A:C, 3, FALSE), 0)</f>
        <v>55</v>
      </c>
      <c r="Q1769">
        <f t="shared" si="27"/>
        <v>0.59416666666666662</v>
      </c>
    </row>
    <row r="1770" spans="1:17" x14ac:dyDescent="0.3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  <c r="L1770" t="str">
        <f>VLOOKUP(D1770, Products!A:C, 3, FALSE)</f>
        <v>Grocery</v>
      </c>
      <c r="M1770" t="str">
        <f>IFERROR(VLOOKUP(C1770, Customers!A:E, 5, FALSE), "Unknown")</f>
        <v>Retail</v>
      </c>
      <c r="N1770" t="str">
        <f>VLOOKUP(E1770, Sales_Reps!A:C, 3, FALSE)</f>
        <v>North</v>
      </c>
      <c r="O1770">
        <f>VLOOKUP(D1770, Products!A:D, 4, FALSE)</f>
        <v>1435</v>
      </c>
      <c r="P1770">
        <f>IFERROR(VLOOKUP(C1770, Customers!A:C, 3, FALSE), 0)</f>
        <v>59</v>
      </c>
      <c r="Q1770">
        <f t="shared" si="27"/>
        <v>0.48007246376811596</v>
      </c>
    </row>
    <row r="1771" spans="1:17" x14ac:dyDescent="0.3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  <c r="L1771" t="str">
        <f>VLOOKUP(D1771, Products!A:C, 3, FALSE)</f>
        <v>Sports</v>
      </c>
      <c r="M1771" t="str">
        <f>IFERROR(VLOOKUP(C1771, Customers!A:E, 5, FALSE), "Unknown")</f>
        <v>Retail</v>
      </c>
      <c r="N1771" t="str">
        <f>VLOOKUP(E1771, Sales_Reps!A:C, 3, FALSE)</f>
        <v>South</v>
      </c>
      <c r="O1771">
        <f>VLOOKUP(D1771, Products!A:D, 4, FALSE)</f>
        <v>302</v>
      </c>
      <c r="P1771">
        <f>IFERROR(VLOOKUP(C1771, Customers!A:C, 3, FALSE), 0)</f>
        <v>26</v>
      </c>
      <c r="Q1771">
        <f t="shared" si="27"/>
        <v>0.35744680851063831</v>
      </c>
    </row>
    <row r="1772" spans="1:17" x14ac:dyDescent="0.3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  <c r="L1772" t="str">
        <f>VLOOKUP(D1772, Products!A:C, 3, FALSE)</f>
        <v>Sports</v>
      </c>
      <c r="M1772" t="str">
        <f>IFERROR(VLOOKUP(C1772, Customers!A:E, 5, FALSE), "Unknown")</f>
        <v>Retail</v>
      </c>
      <c r="N1772" t="str">
        <f>VLOOKUP(E1772, Sales_Reps!A:C, 3, FALSE)</f>
        <v>West</v>
      </c>
      <c r="O1772">
        <f>VLOOKUP(D1772, Products!A:D, 4, FALSE)</f>
        <v>302</v>
      </c>
      <c r="P1772">
        <f>IFERROR(VLOOKUP(C1772, Customers!A:C, 3, FALSE), 0)</f>
        <v>61</v>
      </c>
      <c r="Q1772">
        <f t="shared" si="27"/>
        <v>0.35744680851063831</v>
      </c>
    </row>
    <row r="1773" spans="1:17" x14ac:dyDescent="0.3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  <c r="L1773" t="str">
        <f>VLOOKUP(D1773, Products!A:C, 3, FALSE)</f>
        <v>Home</v>
      </c>
      <c r="M1773" t="str">
        <f>IFERROR(VLOOKUP(C1773, Customers!A:E, 5, FALSE), "Unknown")</f>
        <v>Retail</v>
      </c>
      <c r="N1773" t="str">
        <f>VLOOKUP(E1773, Sales_Reps!A:C, 3, FALSE)</f>
        <v>West</v>
      </c>
      <c r="O1773">
        <f>VLOOKUP(D1773, Products!A:D, 4, FALSE)</f>
        <v>288</v>
      </c>
      <c r="P1773">
        <f>IFERROR(VLOOKUP(C1773, Customers!A:C, 3, FALSE), 0)</f>
        <v>59</v>
      </c>
      <c r="Q1773">
        <f t="shared" si="27"/>
        <v>0.22162162162162163</v>
      </c>
    </row>
    <row r="1774" spans="1:17" x14ac:dyDescent="0.3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  <c r="L1774" t="str">
        <f>VLOOKUP(D1774, Products!A:C, 3, FALSE)</f>
        <v>Grocery</v>
      </c>
      <c r="M1774" t="str">
        <f>IFERROR(VLOOKUP(C1774, Customers!A:E, 5, FALSE), "Unknown")</f>
        <v>Retail</v>
      </c>
      <c r="N1774" t="str">
        <f>VLOOKUP(E1774, Sales_Reps!A:C, 3, FALSE)</f>
        <v>North</v>
      </c>
      <c r="O1774">
        <f>VLOOKUP(D1774, Products!A:D, 4, FALSE)</f>
        <v>1010</v>
      </c>
      <c r="P1774">
        <f>IFERROR(VLOOKUP(C1774, Customers!A:C, 3, FALSE), 0)</f>
        <v>29</v>
      </c>
      <c r="Q1774">
        <f t="shared" si="27"/>
        <v>0.54298642533936647</v>
      </c>
    </row>
    <row r="1775" spans="1:17" x14ac:dyDescent="0.3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  <c r="L1775" t="str">
        <f>VLOOKUP(D1775, Products!A:C, 3, FALSE)</f>
        <v>Sports</v>
      </c>
      <c r="M1775" t="str">
        <f>IFERROR(VLOOKUP(C1775, Customers!A:E, 5, FALSE), "Unknown")</f>
        <v>SMB</v>
      </c>
      <c r="N1775" t="str">
        <f>VLOOKUP(E1775, Sales_Reps!A:C, 3, FALSE)</f>
        <v>North</v>
      </c>
      <c r="O1775">
        <f>VLOOKUP(D1775, Products!A:D, 4, FALSE)</f>
        <v>2827</v>
      </c>
      <c r="P1775">
        <f>IFERROR(VLOOKUP(C1775, Customers!A:C, 3, FALSE), 0)</f>
        <v>43</v>
      </c>
      <c r="Q1775">
        <f t="shared" si="27"/>
        <v>0.5926512968299712</v>
      </c>
    </row>
    <row r="1776" spans="1:17" x14ac:dyDescent="0.3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  <c r="L1776" t="str">
        <f>VLOOKUP(D1776, Products!A:C, 3, FALSE)</f>
        <v>Home</v>
      </c>
      <c r="M1776" t="str">
        <f>IFERROR(VLOOKUP(C1776, Customers!A:E, 5, FALSE), "Unknown")</f>
        <v>Retail</v>
      </c>
      <c r="N1776" t="str">
        <f>VLOOKUP(E1776, Sales_Reps!A:C, 3, FALSE)</f>
        <v>East</v>
      </c>
      <c r="O1776">
        <f>VLOOKUP(D1776, Products!A:D, 4, FALSE)</f>
        <v>1143</v>
      </c>
      <c r="P1776">
        <f>IFERROR(VLOOKUP(C1776, Customers!A:C, 3, FALSE), 0)</f>
        <v>54</v>
      </c>
      <c r="Q1776">
        <f t="shared" si="27"/>
        <v>0.43694581280788175</v>
      </c>
    </row>
    <row r="1777" spans="1:17" x14ac:dyDescent="0.3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  <c r="L1777" t="str">
        <f>VLOOKUP(D1777, Products!A:C, 3, FALSE)</f>
        <v>Sports</v>
      </c>
      <c r="M1777" t="str">
        <f>IFERROR(VLOOKUP(C1777, Customers!A:E, 5, FALSE), "Unknown")</f>
        <v>Retail</v>
      </c>
      <c r="N1777" t="str">
        <f>VLOOKUP(E1777, Sales_Reps!A:C, 3, FALSE)</f>
        <v>East</v>
      </c>
      <c r="O1777">
        <f>VLOOKUP(D1777, Products!A:D, 4, FALSE)</f>
        <v>516</v>
      </c>
      <c r="P1777">
        <f>IFERROR(VLOOKUP(C1777, Customers!A:C, 3, FALSE), 0)</f>
        <v>54</v>
      </c>
      <c r="Q1777">
        <f t="shared" si="27"/>
        <v>0.4891089108910891</v>
      </c>
    </row>
    <row r="1778" spans="1:17" x14ac:dyDescent="0.3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  <c r="L1778" t="str">
        <f>VLOOKUP(D1778, Products!A:C, 3, FALSE)</f>
        <v>Apparel</v>
      </c>
      <c r="M1778" t="str">
        <f>IFERROR(VLOOKUP(C1778, Customers!A:E, 5, FALSE), "Unknown")</f>
        <v>Retail</v>
      </c>
      <c r="N1778" t="str">
        <f>VLOOKUP(E1778, Sales_Reps!A:C, 3, FALSE)</f>
        <v>North</v>
      </c>
      <c r="O1778">
        <f>VLOOKUP(D1778, Products!A:D, 4, FALSE)</f>
        <v>1075</v>
      </c>
      <c r="P1778">
        <f>IFERROR(VLOOKUP(C1778, Customers!A:C, 3, FALSE), 0)</f>
        <v>28</v>
      </c>
      <c r="Q1778">
        <f t="shared" si="27"/>
        <v>0.57171314741035861</v>
      </c>
    </row>
    <row r="1779" spans="1:17" x14ac:dyDescent="0.3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  <c r="L1779" t="str">
        <f>VLOOKUP(D1779, Products!A:C, 3, FALSE)</f>
        <v>Home</v>
      </c>
      <c r="M1779" t="str">
        <f>IFERROR(VLOOKUP(C1779, Customers!A:E, 5, FALSE), "Unknown")</f>
        <v>Retail</v>
      </c>
      <c r="N1779" t="str">
        <f>VLOOKUP(E1779, Sales_Reps!A:C, 3, FALSE)</f>
        <v>North</v>
      </c>
      <c r="O1779">
        <f>VLOOKUP(D1779, Products!A:D, 4, FALSE)</f>
        <v>288</v>
      </c>
      <c r="P1779">
        <f>IFERROR(VLOOKUP(C1779, Customers!A:C, 3, FALSE), 0)</f>
        <v>29</v>
      </c>
      <c r="Q1779">
        <f t="shared" si="27"/>
        <v>0.22162162162162163</v>
      </c>
    </row>
    <row r="1780" spans="1:17" x14ac:dyDescent="0.3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  <c r="L1780" t="str">
        <f>VLOOKUP(D1780, Products!A:C, 3, FALSE)</f>
        <v>Apparel</v>
      </c>
      <c r="M1780" t="str">
        <f>IFERROR(VLOOKUP(C1780, Customers!A:E, 5, FALSE), "Unknown")</f>
        <v>Retail</v>
      </c>
      <c r="N1780" t="str">
        <f>VLOOKUP(E1780, Sales_Reps!A:C, 3, FALSE)</f>
        <v>East</v>
      </c>
      <c r="O1780">
        <f>VLOOKUP(D1780, Products!A:D, 4, FALSE)</f>
        <v>1173</v>
      </c>
      <c r="P1780">
        <f>IFERROR(VLOOKUP(C1780, Customers!A:C, 3, FALSE), 0)</f>
        <v>25</v>
      </c>
      <c r="Q1780">
        <f t="shared" si="27"/>
        <v>0.52701612903225803</v>
      </c>
    </row>
    <row r="1781" spans="1:17" x14ac:dyDescent="0.3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  <c r="L1781" t="str">
        <f>VLOOKUP(D1781, Products!A:C, 3, FALSE)</f>
        <v>Electronics</v>
      </c>
      <c r="M1781" t="str">
        <f>IFERROR(VLOOKUP(C1781, Customers!A:E, 5, FALSE), "Unknown")</f>
        <v>Retail</v>
      </c>
      <c r="N1781" t="str">
        <f>VLOOKUP(E1781, Sales_Reps!A:C, 3, FALSE)</f>
        <v>East</v>
      </c>
      <c r="O1781">
        <f>VLOOKUP(D1781, Products!A:D, 4, FALSE)</f>
        <v>1149</v>
      </c>
      <c r="P1781">
        <f>IFERROR(VLOOKUP(C1781, Customers!A:C, 3, FALSE), 0)</f>
        <v>22</v>
      </c>
      <c r="Q1781">
        <f t="shared" si="27"/>
        <v>0.56477272727272732</v>
      </c>
    </row>
    <row r="1782" spans="1:17" x14ac:dyDescent="0.3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  <c r="L1782" t="str">
        <f>VLOOKUP(D1782, Products!A:C, 3, FALSE)</f>
        <v>Home</v>
      </c>
      <c r="M1782" t="str">
        <f>IFERROR(VLOOKUP(C1782, Customers!A:E, 5, FALSE), "Unknown")</f>
        <v>Retail</v>
      </c>
      <c r="N1782" t="str">
        <f>VLOOKUP(E1782, Sales_Reps!A:C, 3, FALSE)</f>
        <v>East</v>
      </c>
      <c r="O1782">
        <f>VLOOKUP(D1782, Products!A:D, 4, FALSE)</f>
        <v>464</v>
      </c>
      <c r="P1782">
        <f>IFERROR(VLOOKUP(C1782, Customers!A:C, 3, FALSE), 0)</f>
        <v>26</v>
      </c>
      <c r="Q1782">
        <f t="shared" si="27"/>
        <v>0.57431192660550456</v>
      </c>
    </row>
    <row r="1783" spans="1:17" x14ac:dyDescent="0.3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  <c r="L1783" t="str">
        <f>VLOOKUP(D1783, Products!A:C, 3, FALSE)</f>
        <v>Beauty</v>
      </c>
      <c r="M1783" t="str">
        <f>IFERROR(VLOOKUP(C1783, Customers!A:E, 5, FALSE), "Unknown")</f>
        <v>Retail</v>
      </c>
      <c r="N1783" t="str">
        <f>VLOOKUP(E1783, Sales_Reps!A:C, 3, FALSE)</f>
        <v>North</v>
      </c>
      <c r="O1783">
        <f>VLOOKUP(D1783, Products!A:D, 4, FALSE)</f>
        <v>1728</v>
      </c>
      <c r="P1783">
        <f>IFERROR(VLOOKUP(C1783, Customers!A:C, 3, FALSE), 0)</f>
        <v>38</v>
      </c>
      <c r="Q1783">
        <f t="shared" si="27"/>
        <v>0.48417910447761192</v>
      </c>
    </row>
    <row r="1784" spans="1:17" x14ac:dyDescent="0.3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  <c r="L1784" t="str">
        <f>VLOOKUP(D1784, Products!A:C, 3, FALSE)</f>
        <v>Beauty</v>
      </c>
      <c r="M1784" t="str">
        <f>IFERROR(VLOOKUP(C1784, Customers!A:E, 5, FALSE), "Unknown")</f>
        <v>Retail</v>
      </c>
      <c r="N1784" t="str">
        <f>VLOOKUP(E1784, Sales_Reps!A:C, 3, FALSE)</f>
        <v>South</v>
      </c>
      <c r="O1784">
        <f>VLOOKUP(D1784, Products!A:D, 4, FALSE)</f>
        <v>2617</v>
      </c>
      <c r="P1784">
        <f>IFERROR(VLOOKUP(C1784, Customers!A:C, 3, FALSE), 0)</f>
        <v>26</v>
      </c>
      <c r="Q1784">
        <f t="shared" si="27"/>
        <v>0.56957236842105263</v>
      </c>
    </row>
    <row r="1785" spans="1:17" x14ac:dyDescent="0.3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  <c r="L1785" t="str">
        <f>VLOOKUP(D1785, Products!A:C, 3, FALSE)</f>
        <v>Beauty</v>
      </c>
      <c r="M1785" t="str">
        <f>IFERROR(VLOOKUP(C1785, Customers!A:E, 5, FALSE), "Unknown")</f>
        <v>Retail</v>
      </c>
      <c r="N1785" t="str">
        <f>VLOOKUP(E1785, Sales_Reps!A:C, 3, FALSE)</f>
        <v>North</v>
      </c>
      <c r="O1785">
        <f>VLOOKUP(D1785, Products!A:D, 4, FALSE)</f>
        <v>675</v>
      </c>
      <c r="P1785">
        <f>IFERROR(VLOOKUP(C1785, Customers!A:C, 3, FALSE), 0)</f>
        <v>65</v>
      </c>
      <c r="Q1785">
        <f t="shared" si="27"/>
        <v>0.296875</v>
      </c>
    </row>
    <row r="1786" spans="1:17" x14ac:dyDescent="0.3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  <c r="L1786" t="str">
        <f>VLOOKUP(D1786, Products!A:C, 3, FALSE)</f>
        <v>Grocery</v>
      </c>
      <c r="M1786" t="str">
        <f>IFERROR(VLOOKUP(C1786, Customers!A:E, 5, FALSE), "Unknown")</f>
        <v>SMB</v>
      </c>
      <c r="N1786" t="str">
        <f>VLOOKUP(E1786, Sales_Reps!A:C, 3, FALSE)</f>
        <v>North</v>
      </c>
      <c r="O1786">
        <f>VLOOKUP(D1786, Products!A:D, 4, FALSE)</f>
        <v>2214</v>
      </c>
      <c r="P1786">
        <f>IFERROR(VLOOKUP(C1786, Customers!A:C, 3, FALSE), 0)</f>
        <v>24</v>
      </c>
      <c r="Q1786">
        <f t="shared" si="27"/>
        <v>0.39508196721311473</v>
      </c>
    </row>
    <row r="1787" spans="1:17" x14ac:dyDescent="0.3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  <c r="L1787" t="str">
        <f>VLOOKUP(D1787, Products!A:C, 3, FALSE)</f>
        <v>Beauty</v>
      </c>
      <c r="M1787" t="str">
        <f>IFERROR(VLOOKUP(C1787, Customers!A:E, 5, FALSE), "Unknown")</f>
        <v>Corporate</v>
      </c>
      <c r="N1787" t="str">
        <f>VLOOKUP(E1787, Sales_Reps!A:C, 3, FALSE)</f>
        <v>East</v>
      </c>
      <c r="O1787">
        <f>VLOOKUP(D1787, Products!A:D, 4, FALSE)</f>
        <v>2420</v>
      </c>
      <c r="P1787">
        <f>IFERROR(VLOOKUP(C1787, Customers!A:C, 3, FALSE), 0)</f>
        <v>24</v>
      </c>
      <c r="Q1787">
        <f t="shared" si="27"/>
        <v>0.29855072463768118</v>
      </c>
    </row>
    <row r="1788" spans="1:17" x14ac:dyDescent="0.3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  <c r="L1788" t="str">
        <f>VLOOKUP(D1788, Products!A:C, 3, FALSE)</f>
        <v>Home</v>
      </c>
      <c r="M1788" t="str">
        <f>IFERROR(VLOOKUP(C1788, Customers!A:E, 5, FALSE), "Unknown")</f>
        <v>Retail</v>
      </c>
      <c r="N1788" t="str">
        <f>VLOOKUP(E1788, Sales_Reps!A:C, 3, FALSE)</f>
        <v>East</v>
      </c>
      <c r="O1788">
        <f>VLOOKUP(D1788, Products!A:D, 4, FALSE)</f>
        <v>1850</v>
      </c>
      <c r="P1788">
        <f>IFERROR(VLOOKUP(C1788, Customers!A:C, 3, FALSE), 0)</f>
        <v>35</v>
      </c>
      <c r="Q1788">
        <f t="shared" si="27"/>
        <v>0.59869848156182215</v>
      </c>
    </row>
    <row r="1789" spans="1:17" x14ac:dyDescent="0.3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  <c r="L1789" t="str">
        <f>VLOOKUP(D1789, Products!A:C, 3, FALSE)</f>
        <v>Sports</v>
      </c>
      <c r="M1789" t="str">
        <f>IFERROR(VLOOKUP(C1789, Customers!A:E, 5, FALSE), "Unknown")</f>
        <v>Retail</v>
      </c>
      <c r="N1789" t="str">
        <f>VLOOKUP(E1789, Sales_Reps!A:C, 3, FALSE)</f>
        <v>South</v>
      </c>
      <c r="O1789">
        <f>VLOOKUP(D1789, Products!A:D, 4, FALSE)</f>
        <v>705</v>
      </c>
      <c r="P1789">
        <f>IFERROR(VLOOKUP(C1789, Customers!A:C, 3, FALSE), 0)</f>
        <v>55</v>
      </c>
      <c r="Q1789">
        <f t="shared" si="27"/>
        <v>0.265625</v>
      </c>
    </row>
    <row r="1790" spans="1:17" x14ac:dyDescent="0.3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  <c r="L1790" t="str">
        <f>VLOOKUP(D1790, Products!A:C, 3, FALSE)</f>
        <v>Home</v>
      </c>
      <c r="M1790" t="str">
        <f>IFERROR(VLOOKUP(C1790, Customers!A:E, 5, FALSE), "Unknown")</f>
        <v>SMB</v>
      </c>
      <c r="N1790" t="str">
        <f>VLOOKUP(E1790, Sales_Reps!A:C, 3, FALSE)</f>
        <v>East</v>
      </c>
      <c r="O1790">
        <f>VLOOKUP(D1790, Products!A:D, 4, FALSE)</f>
        <v>288</v>
      </c>
      <c r="P1790">
        <f>IFERROR(VLOOKUP(C1790, Customers!A:C, 3, FALSE), 0)</f>
        <v>64</v>
      </c>
      <c r="Q1790">
        <f t="shared" si="27"/>
        <v>0.22162162162162163</v>
      </c>
    </row>
    <row r="1791" spans="1:17" x14ac:dyDescent="0.3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  <c r="L1791" t="str">
        <f>VLOOKUP(D1791, Products!A:C, 3, FALSE)</f>
        <v>Grocery</v>
      </c>
      <c r="M1791" t="str">
        <f>IFERROR(VLOOKUP(C1791, Customers!A:E, 5, FALSE), "Unknown")</f>
        <v>Corporate</v>
      </c>
      <c r="N1791" t="str">
        <f>VLOOKUP(E1791, Sales_Reps!A:C, 3, FALSE)</f>
        <v>North</v>
      </c>
      <c r="O1791">
        <f>VLOOKUP(D1791, Products!A:D, 4, FALSE)</f>
        <v>1203</v>
      </c>
      <c r="P1791">
        <f>IFERROR(VLOOKUP(C1791, Customers!A:C, 3, FALSE), 0)</f>
        <v>22</v>
      </c>
      <c r="Q1791">
        <f t="shared" si="27"/>
        <v>0.47004405286343615</v>
      </c>
    </row>
    <row r="1792" spans="1:17" x14ac:dyDescent="0.3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  <c r="L1792" t="str">
        <f>VLOOKUP(D1792, Products!A:C, 3, FALSE)</f>
        <v>Home</v>
      </c>
      <c r="M1792" t="str">
        <f>IFERROR(VLOOKUP(C1792, Customers!A:E, 5, FALSE), "Unknown")</f>
        <v>Corporate</v>
      </c>
      <c r="N1792" t="str">
        <f>VLOOKUP(E1792, Sales_Reps!A:C, 3, FALSE)</f>
        <v>South</v>
      </c>
      <c r="O1792">
        <f>VLOOKUP(D1792, Products!A:D, 4, FALSE)</f>
        <v>1556</v>
      </c>
      <c r="P1792">
        <f>IFERROR(VLOOKUP(C1792, Customers!A:C, 3, FALSE), 0)</f>
        <v>42</v>
      </c>
      <c r="Q1792">
        <f t="shared" si="27"/>
        <v>0.52123076923076928</v>
      </c>
    </row>
    <row r="1793" spans="1:17" x14ac:dyDescent="0.3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  <c r="L1793" t="str">
        <f>VLOOKUP(D1793, Products!A:C, 3, FALSE)</f>
        <v>Apparel</v>
      </c>
      <c r="M1793" t="str">
        <f>IFERROR(VLOOKUP(C1793, Customers!A:E, 5, FALSE), "Unknown")</f>
        <v>Corporate</v>
      </c>
      <c r="N1793" t="str">
        <f>VLOOKUP(E1793, Sales_Reps!A:C, 3, FALSE)</f>
        <v>East</v>
      </c>
      <c r="O1793">
        <f>VLOOKUP(D1793, Products!A:D, 4, FALSE)</f>
        <v>396</v>
      </c>
      <c r="P1793">
        <f>IFERROR(VLOOKUP(C1793, Customers!A:C, 3, FALSE), 0)</f>
        <v>54</v>
      </c>
      <c r="Q1793">
        <f t="shared" si="27"/>
        <v>0.36129032258064514</v>
      </c>
    </row>
    <row r="1794" spans="1:17" x14ac:dyDescent="0.3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  <c r="L1794" t="str">
        <f>VLOOKUP(D1794, Products!A:C, 3, FALSE)</f>
        <v>Electronics</v>
      </c>
      <c r="M1794" t="str">
        <f>IFERROR(VLOOKUP(C1794, Customers!A:E, 5, FALSE), "Unknown")</f>
        <v>SMB</v>
      </c>
      <c r="N1794" t="str">
        <f>VLOOKUP(E1794, Sales_Reps!A:C, 3, FALSE)</f>
        <v>North</v>
      </c>
      <c r="O1794">
        <f>VLOOKUP(D1794, Products!A:D, 4, FALSE)</f>
        <v>1259</v>
      </c>
      <c r="P1794">
        <f>IFERROR(VLOOKUP(C1794, Customers!A:C, 3, FALSE), 0)</f>
        <v>54</v>
      </c>
      <c r="Q1794">
        <f t="shared" si="27"/>
        <v>0.52669172932330832</v>
      </c>
    </row>
    <row r="1795" spans="1:17" x14ac:dyDescent="0.3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  <c r="L1795" t="str">
        <f>VLOOKUP(D1795, Products!A:C, 3, FALSE)</f>
        <v>Apparel</v>
      </c>
      <c r="M1795" t="str">
        <f>IFERROR(VLOOKUP(C1795, Customers!A:E, 5, FALSE), "Unknown")</f>
        <v>Retail</v>
      </c>
      <c r="N1795" t="str">
        <f>VLOOKUP(E1795, Sales_Reps!A:C, 3, FALSE)</f>
        <v>North</v>
      </c>
      <c r="O1795">
        <f>VLOOKUP(D1795, Products!A:D, 4, FALSE)</f>
        <v>2509</v>
      </c>
      <c r="P1795">
        <f>IFERROR(VLOOKUP(C1795, Customers!A:C, 3, FALSE), 0)</f>
        <v>47</v>
      </c>
      <c r="Q1795">
        <f t="shared" ref="Q1795:Q1858" si="28">(G1795 - O1795) / G1795</f>
        <v>0.3069060773480663</v>
      </c>
    </row>
    <row r="1796" spans="1:17" x14ac:dyDescent="0.3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  <c r="L1796" t="str">
        <f>VLOOKUP(D1796, Products!A:C, 3, FALSE)</f>
        <v>Apparel</v>
      </c>
      <c r="M1796" t="str">
        <f>IFERROR(VLOOKUP(C1796, Customers!A:E, 5, FALSE), "Unknown")</f>
        <v>Retail</v>
      </c>
      <c r="N1796" t="str">
        <f>VLOOKUP(E1796, Sales_Reps!A:C, 3, FALSE)</f>
        <v>East</v>
      </c>
      <c r="O1796">
        <f>VLOOKUP(D1796, Products!A:D, 4, FALSE)</f>
        <v>2611</v>
      </c>
      <c r="P1796">
        <f>IFERROR(VLOOKUP(C1796, Customers!A:C, 3, FALSE), 0)</f>
        <v>48</v>
      </c>
      <c r="Q1796">
        <f t="shared" si="28"/>
        <v>0.28269230769230769</v>
      </c>
    </row>
    <row r="1797" spans="1:17" x14ac:dyDescent="0.3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  <c r="L1797" t="str">
        <f>VLOOKUP(D1797, Products!A:C, 3, FALSE)</f>
        <v>Electronics</v>
      </c>
      <c r="M1797" t="str">
        <f>IFERROR(VLOOKUP(C1797, Customers!A:E, 5, FALSE), "Unknown")</f>
        <v>Retail</v>
      </c>
      <c r="N1797" t="str">
        <f>VLOOKUP(E1797, Sales_Reps!A:C, 3, FALSE)</f>
        <v>North</v>
      </c>
      <c r="O1797">
        <f>VLOOKUP(D1797, Products!A:D, 4, FALSE)</f>
        <v>517</v>
      </c>
      <c r="P1797">
        <f>IFERROR(VLOOKUP(C1797, Customers!A:C, 3, FALSE), 0)</f>
        <v>52</v>
      </c>
      <c r="Q1797">
        <f t="shared" si="28"/>
        <v>0.57622950819672136</v>
      </c>
    </row>
    <row r="1798" spans="1:17" x14ac:dyDescent="0.3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  <c r="L1798" t="str">
        <f>VLOOKUP(D1798, Products!A:C, 3, FALSE)</f>
        <v>Apparel</v>
      </c>
      <c r="M1798" t="str">
        <f>IFERROR(VLOOKUP(C1798, Customers!A:E, 5, FALSE), "Unknown")</f>
        <v>SMB</v>
      </c>
      <c r="N1798" t="str">
        <f>VLOOKUP(E1798, Sales_Reps!A:C, 3, FALSE)</f>
        <v>North</v>
      </c>
      <c r="O1798">
        <f>VLOOKUP(D1798, Products!A:D, 4, FALSE)</f>
        <v>1173</v>
      </c>
      <c r="P1798">
        <f>IFERROR(VLOOKUP(C1798, Customers!A:C, 3, FALSE), 0)</f>
        <v>46</v>
      </c>
      <c r="Q1798">
        <f t="shared" si="28"/>
        <v>0.52701612903225803</v>
      </c>
    </row>
    <row r="1799" spans="1:17" x14ac:dyDescent="0.3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  <c r="L1799" t="str">
        <f>VLOOKUP(D1799, Products!A:C, 3, FALSE)</f>
        <v>Beauty</v>
      </c>
      <c r="M1799" t="str">
        <f>IFERROR(VLOOKUP(C1799, Customers!A:E, 5, FALSE), "Unknown")</f>
        <v>Retail</v>
      </c>
      <c r="N1799" t="str">
        <f>VLOOKUP(E1799, Sales_Reps!A:C, 3, FALSE)</f>
        <v>West</v>
      </c>
      <c r="O1799">
        <f>VLOOKUP(D1799, Products!A:D, 4, FALSE)</f>
        <v>1222</v>
      </c>
      <c r="P1799">
        <f>IFERROR(VLOOKUP(C1799, Customers!A:C, 3, FALSE), 0)</f>
        <v>61</v>
      </c>
      <c r="Q1799">
        <f t="shared" si="28"/>
        <v>0.2593939393939394</v>
      </c>
    </row>
    <row r="1800" spans="1:17" x14ac:dyDescent="0.3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  <c r="L1800" t="str">
        <f>VLOOKUP(D1800, Products!A:C, 3, FALSE)</f>
        <v>Beauty</v>
      </c>
      <c r="M1800" t="str">
        <f>IFERROR(VLOOKUP(C1800, Customers!A:E, 5, FALSE), "Unknown")</f>
        <v>Retail</v>
      </c>
      <c r="N1800" t="str">
        <f>VLOOKUP(E1800, Sales_Reps!A:C, 3, FALSE)</f>
        <v>North</v>
      </c>
      <c r="O1800">
        <f>VLOOKUP(D1800, Products!A:D, 4, FALSE)</f>
        <v>1626</v>
      </c>
      <c r="P1800">
        <f>IFERROR(VLOOKUP(C1800, Customers!A:C, 3, FALSE), 0)</f>
        <v>24</v>
      </c>
      <c r="Q1800">
        <f t="shared" si="28"/>
        <v>0.46158940397350995</v>
      </c>
    </row>
    <row r="1801" spans="1:17" x14ac:dyDescent="0.3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  <c r="L1801" t="str">
        <f>VLOOKUP(D1801, Products!A:C, 3, FALSE)</f>
        <v>Apparel</v>
      </c>
      <c r="M1801" t="str">
        <f>IFERROR(VLOOKUP(C1801, Customers!A:E, 5, FALSE), "Unknown")</f>
        <v>Retail</v>
      </c>
      <c r="N1801" t="str">
        <f>VLOOKUP(E1801, Sales_Reps!A:C, 3, FALSE)</f>
        <v>South</v>
      </c>
      <c r="O1801">
        <f>VLOOKUP(D1801, Products!A:D, 4, FALSE)</f>
        <v>1748</v>
      </c>
      <c r="P1801">
        <f>IFERROR(VLOOKUP(C1801, Customers!A:C, 3, FALSE), 0)</f>
        <v>47</v>
      </c>
      <c r="Q1801">
        <f t="shared" si="28"/>
        <v>0.49333333333333335</v>
      </c>
    </row>
    <row r="1802" spans="1:17" x14ac:dyDescent="0.3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  <c r="L1802" t="str">
        <f>VLOOKUP(D1802, Products!A:C, 3, FALSE)</f>
        <v>Electronics</v>
      </c>
      <c r="M1802" t="str">
        <f>IFERROR(VLOOKUP(C1802, Customers!A:E, 5, FALSE), "Unknown")</f>
        <v>Retail</v>
      </c>
      <c r="N1802" t="str">
        <f>VLOOKUP(E1802, Sales_Reps!A:C, 3, FALSE)</f>
        <v>East</v>
      </c>
      <c r="O1802">
        <f>VLOOKUP(D1802, Products!A:D, 4, FALSE)</f>
        <v>517</v>
      </c>
      <c r="P1802">
        <f>IFERROR(VLOOKUP(C1802, Customers!A:C, 3, FALSE), 0)</f>
        <v>26</v>
      </c>
      <c r="Q1802">
        <f t="shared" si="28"/>
        <v>0.57622950819672136</v>
      </c>
    </row>
    <row r="1803" spans="1:17" x14ac:dyDescent="0.3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  <c r="L1803" t="str">
        <f>VLOOKUP(D1803, Products!A:C, 3, FALSE)</f>
        <v>Grocery</v>
      </c>
      <c r="M1803" t="str">
        <f>IFERROR(VLOOKUP(C1803, Customers!A:E, 5, FALSE), "Unknown")</f>
        <v>SMB</v>
      </c>
      <c r="N1803" t="str">
        <f>VLOOKUP(E1803, Sales_Reps!A:C, 3, FALSE)</f>
        <v>North</v>
      </c>
      <c r="O1803">
        <f>VLOOKUP(D1803, Products!A:D, 4, FALSE)</f>
        <v>2436</v>
      </c>
      <c r="P1803">
        <f>IFERROR(VLOOKUP(C1803, Customers!A:C, 3, FALSE), 0)</f>
        <v>40</v>
      </c>
      <c r="Q1803">
        <f t="shared" si="28"/>
        <v>0.35555555555555557</v>
      </c>
    </row>
    <row r="1804" spans="1:17" x14ac:dyDescent="0.3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  <c r="L1804" t="str">
        <f>VLOOKUP(D1804, Products!A:C, 3, FALSE)</f>
        <v>Electronics</v>
      </c>
      <c r="M1804" t="str">
        <f>IFERROR(VLOOKUP(C1804, Customers!A:E, 5, FALSE), "Unknown")</f>
        <v>Retail</v>
      </c>
      <c r="N1804" t="str">
        <f>VLOOKUP(E1804, Sales_Reps!A:C, 3, FALSE)</f>
        <v>North</v>
      </c>
      <c r="O1804">
        <f>VLOOKUP(D1804, Products!A:D, 4, FALSE)</f>
        <v>1259</v>
      </c>
      <c r="P1804">
        <f>IFERROR(VLOOKUP(C1804, Customers!A:C, 3, FALSE), 0)</f>
        <v>44</v>
      </c>
      <c r="Q1804">
        <f t="shared" si="28"/>
        <v>0.52669172932330832</v>
      </c>
    </row>
    <row r="1805" spans="1:17" x14ac:dyDescent="0.3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  <c r="L1805" t="str">
        <f>VLOOKUP(D1805, Products!A:C, 3, FALSE)</f>
        <v>Home</v>
      </c>
      <c r="M1805" t="str">
        <f>IFERROR(VLOOKUP(C1805, Customers!A:E, 5, FALSE), "Unknown")</f>
        <v>Retail</v>
      </c>
      <c r="N1805" t="str">
        <f>VLOOKUP(E1805, Sales_Reps!A:C, 3, FALSE)</f>
        <v>North</v>
      </c>
      <c r="O1805">
        <f>VLOOKUP(D1805, Products!A:D, 4, FALSE)</f>
        <v>464</v>
      </c>
      <c r="P1805">
        <f>IFERROR(VLOOKUP(C1805, Customers!A:C, 3, FALSE), 0)</f>
        <v>46</v>
      </c>
      <c r="Q1805">
        <f t="shared" si="28"/>
        <v>0.57431192660550456</v>
      </c>
    </row>
    <row r="1806" spans="1:17" x14ac:dyDescent="0.3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  <c r="L1806" t="str">
        <f>VLOOKUP(D1806, Products!A:C, 3, FALSE)</f>
        <v>Home</v>
      </c>
      <c r="M1806" t="str">
        <f>IFERROR(VLOOKUP(C1806, Customers!A:E, 5, FALSE), "Unknown")</f>
        <v>Unknown</v>
      </c>
      <c r="N1806" t="str">
        <f>VLOOKUP(E1806, Sales_Reps!A:C, 3, FALSE)</f>
        <v>South</v>
      </c>
      <c r="O1806">
        <f>VLOOKUP(D1806, Products!A:D, 4, FALSE)</f>
        <v>329</v>
      </c>
      <c r="P1806">
        <f>IFERROR(VLOOKUP(C1806, Customers!A:C, 3, FALSE), 0)</f>
        <v>0</v>
      </c>
      <c r="Q1806">
        <f t="shared" si="28"/>
        <v>0.50151515151515147</v>
      </c>
    </row>
    <row r="1807" spans="1:17" x14ac:dyDescent="0.3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  <c r="L1807" t="str">
        <f>VLOOKUP(D1807, Products!A:C, 3, FALSE)</f>
        <v>Home</v>
      </c>
      <c r="M1807" t="str">
        <f>IFERROR(VLOOKUP(C1807, Customers!A:E, 5, FALSE), "Unknown")</f>
        <v>SMB</v>
      </c>
      <c r="N1807" t="str">
        <f>VLOOKUP(E1807, Sales_Reps!A:C, 3, FALSE)</f>
        <v>South</v>
      </c>
      <c r="O1807">
        <f>VLOOKUP(D1807, Products!A:D, 4, FALSE)</f>
        <v>464</v>
      </c>
      <c r="P1807">
        <f>IFERROR(VLOOKUP(C1807, Customers!A:C, 3, FALSE), 0)</f>
        <v>53</v>
      </c>
      <c r="Q1807">
        <f t="shared" si="28"/>
        <v>0.57431192660550456</v>
      </c>
    </row>
    <row r="1808" spans="1:17" x14ac:dyDescent="0.3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  <c r="L1808" t="str">
        <f>VLOOKUP(D1808, Products!A:C, 3, FALSE)</f>
        <v>Grocery</v>
      </c>
      <c r="M1808" t="str">
        <f>IFERROR(VLOOKUP(C1808, Customers!A:E, 5, FALSE), "Unknown")</f>
        <v>Retail</v>
      </c>
      <c r="N1808" t="str">
        <f>VLOOKUP(E1808, Sales_Reps!A:C, 3, FALSE)</f>
        <v>South</v>
      </c>
      <c r="O1808">
        <f>VLOOKUP(D1808, Products!A:D, 4, FALSE)</f>
        <v>1010</v>
      </c>
      <c r="P1808">
        <f>IFERROR(VLOOKUP(C1808, Customers!A:C, 3, FALSE), 0)</f>
        <v>42</v>
      </c>
      <c r="Q1808">
        <f t="shared" si="28"/>
        <v>0.54298642533936647</v>
      </c>
    </row>
    <row r="1809" spans="1:17" x14ac:dyDescent="0.3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  <c r="L1809" t="str">
        <f>VLOOKUP(D1809, Products!A:C, 3, FALSE)</f>
        <v>Electronics</v>
      </c>
      <c r="M1809" t="str">
        <f>IFERROR(VLOOKUP(C1809, Customers!A:E, 5, FALSE), "Unknown")</f>
        <v>Corporate</v>
      </c>
      <c r="N1809" t="str">
        <f>VLOOKUP(E1809, Sales_Reps!A:C, 3, FALSE)</f>
        <v>West</v>
      </c>
      <c r="O1809">
        <f>VLOOKUP(D1809, Products!A:D, 4, FALSE)</f>
        <v>2865</v>
      </c>
      <c r="P1809">
        <f>IFERROR(VLOOKUP(C1809, Customers!A:C, 3, FALSE), 0)</f>
        <v>55</v>
      </c>
      <c r="Q1809">
        <f t="shared" si="28"/>
        <v>0.27833753148614609</v>
      </c>
    </row>
    <row r="1810" spans="1:17" x14ac:dyDescent="0.3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  <c r="L1810" t="str">
        <f>VLOOKUP(D1810, Products!A:C, 3, FALSE)</f>
        <v>Home</v>
      </c>
      <c r="M1810" t="str">
        <f>IFERROR(VLOOKUP(C1810, Customers!A:E, 5, FALSE), "Unknown")</f>
        <v>Retail</v>
      </c>
      <c r="N1810" t="str">
        <f>VLOOKUP(E1810, Sales_Reps!A:C, 3, FALSE)</f>
        <v>East</v>
      </c>
      <c r="O1810">
        <f>VLOOKUP(D1810, Products!A:D, 4, FALSE)</f>
        <v>1850</v>
      </c>
      <c r="P1810">
        <f>IFERROR(VLOOKUP(C1810, Customers!A:C, 3, FALSE), 0)</f>
        <v>59</v>
      </c>
      <c r="Q1810">
        <f t="shared" si="28"/>
        <v>0.59869848156182215</v>
      </c>
    </row>
    <row r="1811" spans="1:17" x14ac:dyDescent="0.3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  <c r="L1811" t="str">
        <f>VLOOKUP(D1811, Products!A:C, 3, FALSE)</f>
        <v>Beauty</v>
      </c>
      <c r="M1811" t="str">
        <f>IFERROR(VLOOKUP(C1811, Customers!A:E, 5, FALSE), "Unknown")</f>
        <v>SMB</v>
      </c>
      <c r="N1811" t="str">
        <f>VLOOKUP(E1811, Sales_Reps!A:C, 3, FALSE)</f>
        <v>West</v>
      </c>
      <c r="O1811">
        <f>VLOOKUP(D1811, Products!A:D, 4, FALSE)</f>
        <v>675</v>
      </c>
      <c r="P1811">
        <f>IFERROR(VLOOKUP(C1811, Customers!A:C, 3, FALSE), 0)</f>
        <v>55</v>
      </c>
      <c r="Q1811">
        <f t="shared" si="28"/>
        <v>0.296875</v>
      </c>
    </row>
    <row r="1812" spans="1:17" x14ac:dyDescent="0.3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  <c r="L1812" t="str">
        <f>VLOOKUP(D1812, Products!A:C, 3, FALSE)</f>
        <v>Beauty</v>
      </c>
      <c r="M1812" t="str">
        <f>IFERROR(VLOOKUP(C1812, Customers!A:E, 5, FALSE), "Unknown")</f>
        <v>SMB</v>
      </c>
      <c r="N1812" t="str">
        <f>VLOOKUP(E1812, Sales_Reps!A:C, 3, FALSE)</f>
        <v>South</v>
      </c>
      <c r="O1812">
        <f>VLOOKUP(D1812, Products!A:D, 4, FALSE)</f>
        <v>1626</v>
      </c>
      <c r="P1812">
        <f>IFERROR(VLOOKUP(C1812, Customers!A:C, 3, FALSE), 0)</f>
        <v>64</v>
      </c>
      <c r="Q1812">
        <f t="shared" si="28"/>
        <v>0.46158940397350995</v>
      </c>
    </row>
    <row r="1813" spans="1:17" x14ac:dyDescent="0.3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  <c r="L1813" t="str">
        <f>VLOOKUP(D1813, Products!A:C, 3, FALSE)</f>
        <v>Apparel</v>
      </c>
      <c r="M1813" t="str">
        <f>IFERROR(VLOOKUP(C1813, Customers!A:E, 5, FALSE), "Unknown")</f>
        <v>SMB</v>
      </c>
      <c r="N1813" t="str">
        <f>VLOOKUP(E1813, Sales_Reps!A:C, 3, FALSE)</f>
        <v>West</v>
      </c>
      <c r="O1813">
        <f>VLOOKUP(D1813, Products!A:D, 4, FALSE)</f>
        <v>1173</v>
      </c>
      <c r="P1813">
        <f>IFERROR(VLOOKUP(C1813, Customers!A:C, 3, FALSE), 0)</f>
        <v>39</v>
      </c>
      <c r="Q1813">
        <f t="shared" si="28"/>
        <v>0.52701612903225803</v>
      </c>
    </row>
    <row r="1814" spans="1:17" x14ac:dyDescent="0.3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  <c r="L1814" t="str">
        <f>VLOOKUP(D1814, Products!A:C, 3, FALSE)</f>
        <v>Electronics</v>
      </c>
      <c r="M1814" t="str">
        <f>IFERROR(VLOOKUP(C1814, Customers!A:E, 5, FALSE), "Unknown")</f>
        <v>Retail</v>
      </c>
      <c r="N1814" t="str">
        <f>VLOOKUP(E1814, Sales_Reps!A:C, 3, FALSE)</f>
        <v>South</v>
      </c>
      <c r="O1814">
        <f>VLOOKUP(D1814, Products!A:D, 4, FALSE)</f>
        <v>1559</v>
      </c>
      <c r="P1814">
        <f>IFERROR(VLOOKUP(C1814, Customers!A:C, 3, FALSE), 0)</f>
        <v>22</v>
      </c>
      <c r="Q1814">
        <f t="shared" si="28"/>
        <v>0.59715762273901807</v>
      </c>
    </row>
    <row r="1815" spans="1:17" x14ac:dyDescent="0.3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  <c r="L1815" t="str">
        <f>VLOOKUP(D1815, Products!A:C, 3, FALSE)</f>
        <v>Home</v>
      </c>
      <c r="M1815" t="str">
        <f>IFERROR(VLOOKUP(C1815, Customers!A:E, 5, FALSE), "Unknown")</f>
        <v>Corporate</v>
      </c>
      <c r="N1815" t="str">
        <f>VLOOKUP(E1815, Sales_Reps!A:C, 3, FALSE)</f>
        <v>East</v>
      </c>
      <c r="O1815">
        <f>VLOOKUP(D1815, Products!A:D, 4, FALSE)</f>
        <v>329</v>
      </c>
      <c r="P1815">
        <f>IFERROR(VLOOKUP(C1815, Customers!A:C, 3, FALSE), 0)</f>
        <v>62</v>
      </c>
      <c r="Q1815">
        <f t="shared" si="28"/>
        <v>0.50151515151515147</v>
      </c>
    </row>
    <row r="1816" spans="1:17" x14ac:dyDescent="0.3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  <c r="L1816" t="str">
        <f>VLOOKUP(D1816, Products!A:C, 3, FALSE)</f>
        <v>Electronics</v>
      </c>
      <c r="M1816" t="str">
        <f>IFERROR(VLOOKUP(C1816, Customers!A:E, 5, FALSE), "Unknown")</f>
        <v>Unknown</v>
      </c>
      <c r="N1816" t="str">
        <f>VLOOKUP(E1816, Sales_Reps!A:C, 3, FALSE)</f>
        <v>West</v>
      </c>
      <c r="O1816">
        <f>VLOOKUP(D1816, Products!A:D, 4, FALSE)</f>
        <v>1559</v>
      </c>
      <c r="P1816">
        <f>IFERROR(VLOOKUP(C1816, Customers!A:C, 3, FALSE), 0)</f>
        <v>0</v>
      </c>
      <c r="Q1816">
        <f t="shared" si="28"/>
        <v>0.59715762273901807</v>
      </c>
    </row>
    <row r="1817" spans="1:17" x14ac:dyDescent="0.3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  <c r="L1817" t="str">
        <f>VLOOKUP(D1817, Products!A:C, 3, FALSE)</f>
        <v>Apparel</v>
      </c>
      <c r="M1817" t="str">
        <f>IFERROR(VLOOKUP(C1817, Customers!A:E, 5, FALSE), "Unknown")</f>
        <v>SMB</v>
      </c>
      <c r="N1817" t="str">
        <f>VLOOKUP(E1817, Sales_Reps!A:C, 3, FALSE)</f>
        <v>North</v>
      </c>
      <c r="O1817">
        <f>VLOOKUP(D1817, Products!A:D, 4, FALSE)</f>
        <v>1173</v>
      </c>
      <c r="P1817">
        <f>IFERROR(VLOOKUP(C1817, Customers!A:C, 3, FALSE), 0)</f>
        <v>44</v>
      </c>
      <c r="Q1817">
        <f t="shared" si="28"/>
        <v>0.52701612903225803</v>
      </c>
    </row>
    <row r="1818" spans="1:17" x14ac:dyDescent="0.3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  <c r="L1818" t="str">
        <f>VLOOKUP(D1818, Products!A:C, 3, FALSE)</f>
        <v>Electronics</v>
      </c>
      <c r="M1818" t="str">
        <f>IFERROR(VLOOKUP(C1818, Customers!A:E, 5, FALSE), "Unknown")</f>
        <v>Retail</v>
      </c>
      <c r="N1818" t="str">
        <f>VLOOKUP(E1818, Sales_Reps!A:C, 3, FALSE)</f>
        <v>North</v>
      </c>
      <c r="O1818">
        <f>VLOOKUP(D1818, Products!A:D, 4, FALSE)</f>
        <v>1149</v>
      </c>
      <c r="P1818">
        <f>IFERROR(VLOOKUP(C1818, Customers!A:C, 3, FALSE), 0)</f>
        <v>61</v>
      </c>
      <c r="Q1818">
        <f t="shared" si="28"/>
        <v>0.56477272727272732</v>
      </c>
    </row>
    <row r="1819" spans="1:17" x14ac:dyDescent="0.3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  <c r="L1819" t="str">
        <f>VLOOKUP(D1819, Products!A:C, 3, FALSE)</f>
        <v>Grocery</v>
      </c>
      <c r="M1819" t="str">
        <f>IFERROR(VLOOKUP(C1819, Customers!A:E, 5, FALSE), "Unknown")</f>
        <v>SMB</v>
      </c>
      <c r="N1819" t="str">
        <f>VLOOKUP(E1819, Sales_Reps!A:C, 3, FALSE)</f>
        <v>North</v>
      </c>
      <c r="O1819">
        <f>VLOOKUP(D1819, Products!A:D, 4, FALSE)</f>
        <v>434</v>
      </c>
      <c r="P1819">
        <f>IFERROR(VLOOKUP(C1819, Customers!A:C, 3, FALSE), 0)</f>
        <v>25</v>
      </c>
      <c r="Q1819">
        <f t="shared" si="28"/>
        <v>0.5525773195876289</v>
      </c>
    </row>
    <row r="1820" spans="1:17" x14ac:dyDescent="0.3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  <c r="L1820" t="str">
        <f>VLOOKUP(D1820, Products!A:C, 3, FALSE)</f>
        <v>Sports</v>
      </c>
      <c r="M1820" t="str">
        <f>IFERROR(VLOOKUP(C1820, Customers!A:E, 5, FALSE), "Unknown")</f>
        <v>Retail</v>
      </c>
      <c r="N1820" t="str">
        <f>VLOOKUP(E1820, Sales_Reps!A:C, 3, FALSE)</f>
        <v>North</v>
      </c>
      <c r="O1820">
        <f>VLOOKUP(D1820, Products!A:D, 4, FALSE)</f>
        <v>705</v>
      </c>
      <c r="P1820">
        <f>IFERROR(VLOOKUP(C1820, Customers!A:C, 3, FALSE), 0)</f>
        <v>39</v>
      </c>
      <c r="Q1820">
        <f t="shared" si="28"/>
        <v>0.265625</v>
      </c>
    </row>
    <row r="1821" spans="1:17" x14ac:dyDescent="0.3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  <c r="L1821" t="str">
        <f>VLOOKUP(D1821, Products!A:C, 3, FALSE)</f>
        <v>Home</v>
      </c>
      <c r="M1821" t="str">
        <f>IFERROR(VLOOKUP(C1821, Customers!A:E, 5, FALSE), "Unknown")</f>
        <v>Retail</v>
      </c>
      <c r="N1821" t="str">
        <f>VLOOKUP(E1821, Sales_Reps!A:C, 3, FALSE)</f>
        <v>North</v>
      </c>
      <c r="O1821">
        <f>VLOOKUP(D1821, Products!A:D, 4, FALSE)</f>
        <v>1143</v>
      </c>
      <c r="P1821">
        <f>IFERROR(VLOOKUP(C1821, Customers!A:C, 3, FALSE), 0)</f>
        <v>31</v>
      </c>
      <c r="Q1821">
        <f t="shared" si="28"/>
        <v>0.43694581280788175</v>
      </c>
    </row>
    <row r="1822" spans="1:17" x14ac:dyDescent="0.3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  <c r="L1822" t="str">
        <f>VLOOKUP(D1822, Products!A:C, 3, FALSE)</f>
        <v>Beauty</v>
      </c>
      <c r="M1822" t="str">
        <f>IFERROR(VLOOKUP(C1822, Customers!A:E, 5, FALSE), "Unknown")</f>
        <v>SMB</v>
      </c>
      <c r="N1822" t="str">
        <f>VLOOKUP(E1822, Sales_Reps!A:C, 3, FALSE)</f>
        <v>West</v>
      </c>
      <c r="O1822">
        <f>VLOOKUP(D1822, Products!A:D, 4, FALSE)</f>
        <v>1219</v>
      </c>
      <c r="P1822">
        <f>IFERROR(VLOOKUP(C1822, Customers!A:C, 3, FALSE), 0)</f>
        <v>29</v>
      </c>
      <c r="Q1822">
        <f t="shared" si="28"/>
        <v>0.46768558951965067</v>
      </c>
    </row>
    <row r="1823" spans="1:17" x14ac:dyDescent="0.3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  <c r="L1823" t="str">
        <f>VLOOKUP(D1823, Products!A:C, 3, FALSE)</f>
        <v>Apparel</v>
      </c>
      <c r="M1823" t="str">
        <f>IFERROR(VLOOKUP(C1823, Customers!A:E, 5, FALSE), "Unknown")</f>
        <v>Retail</v>
      </c>
      <c r="N1823" t="str">
        <f>VLOOKUP(E1823, Sales_Reps!A:C, 3, FALSE)</f>
        <v>West</v>
      </c>
      <c r="O1823">
        <f>VLOOKUP(D1823, Products!A:D, 4, FALSE)</f>
        <v>391</v>
      </c>
      <c r="P1823">
        <f>IFERROR(VLOOKUP(C1823, Customers!A:C, 3, FALSE), 0)</f>
        <v>26</v>
      </c>
      <c r="Q1823">
        <f t="shared" si="28"/>
        <v>0.52317073170731709</v>
      </c>
    </row>
    <row r="1824" spans="1:17" x14ac:dyDescent="0.3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  <c r="L1824" t="str">
        <f>VLOOKUP(D1824, Products!A:C, 3, FALSE)</f>
        <v>Home</v>
      </c>
      <c r="M1824" t="str">
        <f>IFERROR(VLOOKUP(C1824, Customers!A:E, 5, FALSE), "Unknown")</f>
        <v>SMB</v>
      </c>
      <c r="N1824" t="str">
        <f>VLOOKUP(E1824, Sales_Reps!A:C, 3, FALSE)</f>
        <v>West</v>
      </c>
      <c r="O1824">
        <f>VLOOKUP(D1824, Products!A:D, 4, FALSE)</f>
        <v>519</v>
      </c>
      <c r="P1824">
        <f>IFERROR(VLOOKUP(C1824, Customers!A:C, 3, FALSE), 0)</f>
        <v>65</v>
      </c>
      <c r="Q1824">
        <f t="shared" si="28"/>
        <v>0.51944444444444449</v>
      </c>
    </row>
    <row r="1825" spans="1:17" x14ac:dyDescent="0.3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  <c r="L1825" t="str">
        <f>VLOOKUP(D1825, Products!A:C, 3, FALSE)</f>
        <v>Sports</v>
      </c>
      <c r="M1825" t="str">
        <f>IFERROR(VLOOKUP(C1825, Customers!A:E, 5, FALSE), "Unknown")</f>
        <v>SMB</v>
      </c>
      <c r="N1825" t="str">
        <f>VLOOKUP(E1825, Sales_Reps!A:C, 3, FALSE)</f>
        <v>West</v>
      </c>
      <c r="O1825">
        <f>VLOOKUP(D1825, Products!A:D, 4, FALSE)</f>
        <v>147</v>
      </c>
      <c r="P1825">
        <f>IFERROR(VLOOKUP(C1825, Customers!A:C, 3, FALSE), 0)</f>
        <v>49</v>
      </c>
      <c r="Q1825">
        <f t="shared" si="28"/>
        <v>0.22631578947368422</v>
      </c>
    </row>
    <row r="1826" spans="1:17" x14ac:dyDescent="0.3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  <c r="L1826" t="str">
        <f>VLOOKUP(D1826, Products!A:C, 3, FALSE)</f>
        <v>Apparel</v>
      </c>
      <c r="M1826" t="str">
        <f>IFERROR(VLOOKUP(C1826, Customers!A:E, 5, FALSE), "Unknown")</f>
        <v>SMB</v>
      </c>
      <c r="N1826" t="str">
        <f>VLOOKUP(E1826, Sales_Reps!A:C, 3, FALSE)</f>
        <v>West</v>
      </c>
      <c r="O1826">
        <f>VLOOKUP(D1826, Products!A:D, 4, FALSE)</f>
        <v>1075</v>
      </c>
      <c r="P1826">
        <f>IFERROR(VLOOKUP(C1826, Customers!A:C, 3, FALSE), 0)</f>
        <v>55</v>
      </c>
      <c r="Q1826">
        <f t="shared" si="28"/>
        <v>0.57171314741035861</v>
      </c>
    </row>
    <row r="1827" spans="1:17" x14ac:dyDescent="0.3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  <c r="L1827" t="str">
        <f>VLOOKUP(D1827, Products!A:C, 3, FALSE)</f>
        <v>Apparel</v>
      </c>
      <c r="M1827" t="str">
        <f>IFERROR(VLOOKUP(C1827, Customers!A:E, 5, FALSE), "Unknown")</f>
        <v>Retail</v>
      </c>
      <c r="N1827" t="str">
        <f>VLOOKUP(E1827, Sales_Reps!A:C, 3, FALSE)</f>
        <v>South</v>
      </c>
      <c r="O1827">
        <f>VLOOKUP(D1827, Products!A:D, 4, FALSE)</f>
        <v>2629</v>
      </c>
      <c r="P1827">
        <f>IFERROR(VLOOKUP(C1827, Customers!A:C, 3, FALSE), 0)</f>
        <v>36</v>
      </c>
      <c r="Q1827">
        <f t="shared" si="28"/>
        <v>0.26151685393258428</v>
      </c>
    </row>
    <row r="1828" spans="1:17" x14ac:dyDescent="0.3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  <c r="L1828" t="str">
        <f>VLOOKUP(D1828, Products!A:C, 3, FALSE)</f>
        <v>Apparel</v>
      </c>
      <c r="M1828" t="str">
        <f>IFERROR(VLOOKUP(C1828, Customers!A:E, 5, FALSE), "Unknown")</f>
        <v>Corporate</v>
      </c>
      <c r="N1828" t="str">
        <f>VLOOKUP(E1828, Sales_Reps!A:C, 3, FALSE)</f>
        <v>South</v>
      </c>
      <c r="O1828">
        <f>VLOOKUP(D1828, Products!A:D, 4, FALSE)</f>
        <v>391</v>
      </c>
      <c r="P1828">
        <f>IFERROR(VLOOKUP(C1828, Customers!A:C, 3, FALSE), 0)</f>
        <v>41</v>
      </c>
      <c r="Q1828">
        <f t="shared" si="28"/>
        <v>0.52317073170731709</v>
      </c>
    </row>
    <row r="1829" spans="1:17" x14ac:dyDescent="0.3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  <c r="L1829" t="str">
        <f>VLOOKUP(D1829, Products!A:C, 3, FALSE)</f>
        <v>Apparel</v>
      </c>
      <c r="M1829" t="str">
        <f>IFERROR(VLOOKUP(C1829, Customers!A:E, 5, FALSE), "Unknown")</f>
        <v>Corporate</v>
      </c>
      <c r="N1829" t="str">
        <f>VLOOKUP(E1829, Sales_Reps!A:C, 3, FALSE)</f>
        <v>North</v>
      </c>
      <c r="O1829">
        <f>VLOOKUP(D1829, Products!A:D, 4, FALSE)</f>
        <v>2611</v>
      </c>
      <c r="P1829">
        <f>IFERROR(VLOOKUP(C1829, Customers!A:C, 3, FALSE), 0)</f>
        <v>42</v>
      </c>
      <c r="Q1829">
        <f t="shared" si="28"/>
        <v>0.28269230769230769</v>
      </c>
    </row>
    <row r="1830" spans="1:17" x14ac:dyDescent="0.3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  <c r="L1830" t="str">
        <f>VLOOKUP(D1830, Products!A:C, 3, FALSE)</f>
        <v>Grocery</v>
      </c>
      <c r="M1830" t="str">
        <f>IFERROR(VLOOKUP(C1830, Customers!A:E, 5, FALSE), "Unknown")</f>
        <v>Retail</v>
      </c>
      <c r="N1830" t="str">
        <f>VLOOKUP(E1830, Sales_Reps!A:C, 3, FALSE)</f>
        <v>East</v>
      </c>
      <c r="O1830">
        <f>VLOOKUP(D1830, Products!A:D, 4, FALSE)</f>
        <v>2214</v>
      </c>
      <c r="P1830">
        <f>IFERROR(VLOOKUP(C1830, Customers!A:C, 3, FALSE), 0)</f>
        <v>54</v>
      </c>
      <c r="Q1830">
        <f t="shared" si="28"/>
        <v>0.39508196721311473</v>
      </c>
    </row>
    <row r="1831" spans="1:17" x14ac:dyDescent="0.3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  <c r="L1831" t="str">
        <f>VLOOKUP(D1831, Products!A:C, 3, FALSE)</f>
        <v>Sports</v>
      </c>
      <c r="M1831" t="str">
        <f>IFERROR(VLOOKUP(C1831, Customers!A:E, 5, FALSE), "Unknown")</f>
        <v>SMB</v>
      </c>
      <c r="N1831" t="str">
        <f>VLOOKUP(E1831, Sales_Reps!A:C, 3, FALSE)</f>
        <v>West</v>
      </c>
      <c r="O1831">
        <f>VLOOKUP(D1831, Products!A:D, 4, FALSE)</f>
        <v>2028</v>
      </c>
      <c r="P1831">
        <f>IFERROR(VLOOKUP(C1831, Customers!A:C, 3, FALSE), 0)</f>
        <v>29</v>
      </c>
      <c r="Q1831">
        <f t="shared" si="28"/>
        <v>0.29090909090909089</v>
      </c>
    </row>
    <row r="1832" spans="1:17" x14ac:dyDescent="0.3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  <c r="L1832" t="str">
        <f>VLOOKUP(D1832, Products!A:C, 3, FALSE)</f>
        <v>Apparel</v>
      </c>
      <c r="M1832" t="str">
        <f>IFERROR(VLOOKUP(C1832, Customers!A:E, 5, FALSE), "Unknown")</f>
        <v>Retail</v>
      </c>
      <c r="N1832" t="str">
        <f>VLOOKUP(E1832, Sales_Reps!A:C, 3, FALSE)</f>
        <v>East</v>
      </c>
      <c r="O1832">
        <f>VLOOKUP(D1832, Products!A:D, 4, FALSE)</f>
        <v>1962</v>
      </c>
      <c r="P1832">
        <f>IFERROR(VLOOKUP(C1832, Customers!A:C, 3, FALSE), 0)</f>
        <v>43</v>
      </c>
      <c r="Q1832">
        <f t="shared" si="28"/>
        <v>0.2786764705882353</v>
      </c>
    </row>
    <row r="1833" spans="1:17" x14ac:dyDescent="0.3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  <c r="L1833" t="str">
        <f>VLOOKUP(D1833, Products!A:C, 3, FALSE)</f>
        <v>Sports</v>
      </c>
      <c r="M1833" t="str">
        <f>IFERROR(VLOOKUP(C1833, Customers!A:E, 5, FALSE), "Unknown")</f>
        <v>Retail</v>
      </c>
      <c r="N1833" t="str">
        <f>VLOOKUP(E1833, Sales_Reps!A:C, 3, FALSE)</f>
        <v>North</v>
      </c>
      <c r="O1833">
        <f>VLOOKUP(D1833, Products!A:D, 4, FALSE)</f>
        <v>2028</v>
      </c>
      <c r="P1833">
        <f>IFERROR(VLOOKUP(C1833, Customers!A:C, 3, FALSE), 0)</f>
        <v>46</v>
      </c>
      <c r="Q1833">
        <f t="shared" si="28"/>
        <v>0.29090909090909089</v>
      </c>
    </row>
    <row r="1834" spans="1:17" x14ac:dyDescent="0.3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  <c r="L1834" t="str">
        <f>VLOOKUP(D1834, Products!A:C, 3, FALSE)</f>
        <v>Apparel</v>
      </c>
      <c r="M1834" t="str">
        <f>IFERROR(VLOOKUP(C1834, Customers!A:E, 5, FALSE), "Unknown")</f>
        <v>Retail</v>
      </c>
      <c r="N1834" t="str">
        <f>VLOOKUP(E1834, Sales_Reps!A:C, 3, FALSE)</f>
        <v>East</v>
      </c>
      <c r="O1834">
        <f>VLOOKUP(D1834, Products!A:D, 4, FALSE)</f>
        <v>1075</v>
      </c>
      <c r="P1834">
        <f>IFERROR(VLOOKUP(C1834, Customers!A:C, 3, FALSE), 0)</f>
        <v>37</v>
      </c>
      <c r="Q1834">
        <f t="shared" si="28"/>
        <v>0.57171314741035861</v>
      </c>
    </row>
    <row r="1835" spans="1:17" x14ac:dyDescent="0.3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  <c r="L1835" t="str">
        <f>VLOOKUP(D1835, Products!A:C, 3, FALSE)</f>
        <v>Apparel</v>
      </c>
      <c r="M1835" t="str">
        <f>IFERROR(VLOOKUP(C1835, Customers!A:E, 5, FALSE), "Unknown")</f>
        <v>SMB</v>
      </c>
      <c r="N1835" t="str">
        <f>VLOOKUP(E1835, Sales_Reps!A:C, 3, FALSE)</f>
        <v>East</v>
      </c>
      <c r="O1835">
        <f>VLOOKUP(D1835, Products!A:D, 4, FALSE)</f>
        <v>1075</v>
      </c>
      <c r="P1835">
        <f>IFERROR(VLOOKUP(C1835, Customers!A:C, 3, FALSE), 0)</f>
        <v>59</v>
      </c>
      <c r="Q1835">
        <f t="shared" si="28"/>
        <v>0.57171314741035861</v>
      </c>
    </row>
    <row r="1836" spans="1:17" x14ac:dyDescent="0.3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  <c r="L1836" t="str">
        <f>VLOOKUP(D1836, Products!A:C, 3, FALSE)</f>
        <v>Beauty</v>
      </c>
      <c r="M1836" t="str">
        <f>IFERROR(VLOOKUP(C1836, Customers!A:E, 5, FALSE), "Unknown")</f>
        <v>Retail</v>
      </c>
      <c r="N1836" t="str">
        <f>VLOOKUP(E1836, Sales_Reps!A:C, 3, FALSE)</f>
        <v>North</v>
      </c>
      <c r="O1836">
        <f>VLOOKUP(D1836, Products!A:D, 4, FALSE)</f>
        <v>675</v>
      </c>
      <c r="P1836">
        <f>IFERROR(VLOOKUP(C1836, Customers!A:C, 3, FALSE), 0)</f>
        <v>49</v>
      </c>
      <c r="Q1836">
        <f t="shared" si="28"/>
        <v>0.296875</v>
      </c>
    </row>
    <row r="1837" spans="1:17" x14ac:dyDescent="0.3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  <c r="L1837" t="str">
        <f>VLOOKUP(D1837, Products!A:C, 3, FALSE)</f>
        <v>Home</v>
      </c>
      <c r="M1837" t="str">
        <f>IFERROR(VLOOKUP(C1837, Customers!A:E, 5, FALSE), "Unknown")</f>
        <v>SMB</v>
      </c>
      <c r="N1837" t="str">
        <f>VLOOKUP(E1837, Sales_Reps!A:C, 3, FALSE)</f>
        <v>South</v>
      </c>
      <c r="O1837">
        <f>VLOOKUP(D1837, Products!A:D, 4, FALSE)</f>
        <v>2549</v>
      </c>
      <c r="P1837">
        <f>IFERROR(VLOOKUP(C1837, Customers!A:C, 3, FALSE), 0)</f>
        <v>39</v>
      </c>
      <c r="Q1837">
        <f t="shared" si="28"/>
        <v>0.53570127504553733</v>
      </c>
    </row>
    <row r="1838" spans="1:17" x14ac:dyDescent="0.3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  <c r="L1838" t="str">
        <f>VLOOKUP(D1838, Products!A:C, 3, FALSE)</f>
        <v>Apparel</v>
      </c>
      <c r="M1838" t="str">
        <f>IFERROR(VLOOKUP(C1838, Customers!A:E, 5, FALSE), "Unknown")</f>
        <v>Retail</v>
      </c>
      <c r="N1838" t="str">
        <f>VLOOKUP(E1838, Sales_Reps!A:C, 3, FALSE)</f>
        <v>North</v>
      </c>
      <c r="O1838">
        <f>VLOOKUP(D1838, Products!A:D, 4, FALSE)</f>
        <v>1075</v>
      </c>
      <c r="P1838">
        <f>IFERROR(VLOOKUP(C1838, Customers!A:C, 3, FALSE), 0)</f>
        <v>54</v>
      </c>
      <c r="Q1838">
        <f t="shared" si="28"/>
        <v>0.57171314741035861</v>
      </c>
    </row>
    <row r="1839" spans="1:17" x14ac:dyDescent="0.3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  <c r="L1839" t="str">
        <f>VLOOKUP(D1839, Products!A:C, 3, FALSE)</f>
        <v>Apparel</v>
      </c>
      <c r="M1839" t="str">
        <f>IFERROR(VLOOKUP(C1839, Customers!A:E, 5, FALSE), "Unknown")</f>
        <v>Retail</v>
      </c>
      <c r="N1839" t="str">
        <f>VLOOKUP(E1839, Sales_Reps!A:C, 3, FALSE)</f>
        <v>South</v>
      </c>
      <c r="O1839">
        <f>VLOOKUP(D1839, Products!A:D, 4, FALSE)</f>
        <v>391</v>
      </c>
      <c r="P1839">
        <f>IFERROR(VLOOKUP(C1839, Customers!A:C, 3, FALSE), 0)</f>
        <v>63</v>
      </c>
      <c r="Q1839">
        <f t="shared" si="28"/>
        <v>0.52317073170731709</v>
      </c>
    </row>
    <row r="1840" spans="1:17" x14ac:dyDescent="0.3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  <c r="L1840" t="str">
        <f>VLOOKUP(D1840, Products!A:C, 3, FALSE)</f>
        <v>Electronics</v>
      </c>
      <c r="M1840" t="str">
        <f>IFERROR(VLOOKUP(C1840, Customers!A:E, 5, FALSE), "Unknown")</f>
        <v>SMB</v>
      </c>
      <c r="N1840" t="str">
        <f>VLOOKUP(E1840, Sales_Reps!A:C, 3, FALSE)</f>
        <v>East</v>
      </c>
      <c r="O1840">
        <f>VLOOKUP(D1840, Products!A:D, 4, FALSE)</f>
        <v>128</v>
      </c>
      <c r="P1840">
        <f>IFERROR(VLOOKUP(C1840, Customers!A:C, 3, FALSE), 0)</f>
        <v>22</v>
      </c>
      <c r="Q1840">
        <f t="shared" si="28"/>
        <v>0.57333333333333336</v>
      </c>
    </row>
    <row r="1841" spans="1:17" x14ac:dyDescent="0.3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  <c r="L1841" t="str">
        <f>VLOOKUP(D1841, Products!A:C, 3, FALSE)</f>
        <v>Beauty</v>
      </c>
      <c r="M1841" t="str">
        <f>IFERROR(VLOOKUP(C1841, Customers!A:E, 5, FALSE), "Unknown")</f>
        <v>Retail</v>
      </c>
      <c r="N1841" t="str">
        <f>VLOOKUP(E1841, Sales_Reps!A:C, 3, FALSE)</f>
        <v>South</v>
      </c>
      <c r="O1841">
        <f>VLOOKUP(D1841, Products!A:D, 4, FALSE)</f>
        <v>1728</v>
      </c>
      <c r="P1841">
        <f>IFERROR(VLOOKUP(C1841, Customers!A:C, 3, FALSE), 0)</f>
        <v>36</v>
      </c>
      <c r="Q1841">
        <f t="shared" si="28"/>
        <v>0.48417910447761192</v>
      </c>
    </row>
    <row r="1842" spans="1:17" x14ac:dyDescent="0.3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  <c r="L1842" t="str">
        <f>VLOOKUP(D1842, Products!A:C, 3, FALSE)</f>
        <v>Home</v>
      </c>
      <c r="M1842" t="str">
        <f>IFERROR(VLOOKUP(C1842, Customers!A:E, 5, FALSE), "Unknown")</f>
        <v>Retail</v>
      </c>
      <c r="N1842" t="str">
        <f>VLOOKUP(E1842, Sales_Reps!A:C, 3, FALSE)</f>
        <v>West</v>
      </c>
      <c r="O1842">
        <f>VLOOKUP(D1842, Products!A:D, 4, FALSE)</f>
        <v>1556</v>
      </c>
      <c r="P1842">
        <f>IFERROR(VLOOKUP(C1842, Customers!A:C, 3, FALSE), 0)</f>
        <v>62</v>
      </c>
      <c r="Q1842">
        <f t="shared" si="28"/>
        <v>0.52123076923076928</v>
      </c>
    </row>
    <row r="1843" spans="1:17" x14ac:dyDescent="0.3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  <c r="L1843" t="str">
        <f>VLOOKUP(D1843, Products!A:C, 3, FALSE)</f>
        <v>Beauty</v>
      </c>
      <c r="M1843" t="str">
        <f>IFERROR(VLOOKUP(C1843, Customers!A:E, 5, FALSE), "Unknown")</f>
        <v>SMB</v>
      </c>
      <c r="N1843" t="str">
        <f>VLOOKUP(E1843, Sales_Reps!A:C, 3, FALSE)</f>
        <v>West</v>
      </c>
      <c r="O1843">
        <f>VLOOKUP(D1843, Products!A:D, 4, FALSE)</f>
        <v>1222</v>
      </c>
      <c r="P1843">
        <f>IFERROR(VLOOKUP(C1843, Customers!A:C, 3, FALSE), 0)</f>
        <v>46</v>
      </c>
      <c r="Q1843">
        <f t="shared" si="28"/>
        <v>0.2593939393939394</v>
      </c>
    </row>
    <row r="1844" spans="1:17" x14ac:dyDescent="0.3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  <c r="L1844" t="str">
        <f>VLOOKUP(D1844, Products!A:C, 3, FALSE)</f>
        <v>Electronics</v>
      </c>
      <c r="M1844" t="str">
        <f>IFERROR(VLOOKUP(C1844, Customers!A:E, 5, FALSE), "Unknown")</f>
        <v>Retail</v>
      </c>
      <c r="N1844" t="str">
        <f>VLOOKUP(E1844, Sales_Reps!A:C, 3, FALSE)</f>
        <v>West</v>
      </c>
      <c r="O1844">
        <f>VLOOKUP(D1844, Products!A:D, 4, FALSE)</f>
        <v>517</v>
      </c>
      <c r="P1844">
        <f>IFERROR(VLOOKUP(C1844, Customers!A:C, 3, FALSE), 0)</f>
        <v>32</v>
      </c>
      <c r="Q1844">
        <f t="shared" si="28"/>
        <v>0.57622950819672136</v>
      </c>
    </row>
    <row r="1845" spans="1:17" x14ac:dyDescent="0.3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  <c r="L1845" t="str">
        <f>VLOOKUP(D1845, Products!A:C, 3, FALSE)</f>
        <v>Beauty</v>
      </c>
      <c r="M1845" t="str">
        <f>IFERROR(VLOOKUP(C1845, Customers!A:E, 5, FALSE), "Unknown")</f>
        <v>Retail</v>
      </c>
      <c r="N1845" t="str">
        <f>VLOOKUP(E1845, Sales_Reps!A:C, 3, FALSE)</f>
        <v>West</v>
      </c>
      <c r="O1845">
        <f>VLOOKUP(D1845, Products!A:D, 4, FALSE)</f>
        <v>675</v>
      </c>
      <c r="P1845">
        <f>IFERROR(VLOOKUP(C1845, Customers!A:C, 3, FALSE), 0)</f>
        <v>46</v>
      </c>
      <c r="Q1845">
        <f t="shared" si="28"/>
        <v>0.296875</v>
      </c>
    </row>
    <row r="1846" spans="1:17" x14ac:dyDescent="0.3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  <c r="L1846" t="str">
        <f>VLOOKUP(D1846, Products!A:C, 3, FALSE)</f>
        <v>Beauty</v>
      </c>
      <c r="M1846" t="str">
        <f>IFERROR(VLOOKUP(C1846, Customers!A:E, 5, FALSE), "Unknown")</f>
        <v>SMB</v>
      </c>
      <c r="N1846" t="str">
        <f>VLOOKUP(E1846, Sales_Reps!A:C, 3, FALSE)</f>
        <v>South</v>
      </c>
      <c r="O1846">
        <f>VLOOKUP(D1846, Products!A:D, 4, FALSE)</f>
        <v>2768</v>
      </c>
      <c r="P1846">
        <f>IFERROR(VLOOKUP(C1846, Customers!A:C, 3, FALSE), 0)</f>
        <v>43</v>
      </c>
      <c r="Q1846">
        <f t="shared" si="28"/>
        <v>0.43278688524590164</v>
      </c>
    </row>
    <row r="1847" spans="1:17" x14ac:dyDescent="0.3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  <c r="L1847" t="str">
        <f>VLOOKUP(D1847, Products!A:C, 3, FALSE)</f>
        <v>Grocery</v>
      </c>
      <c r="M1847" t="str">
        <f>IFERROR(VLOOKUP(C1847, Customers!A:E, 5, FALSE), "Unknown")</f>
        <v>SMB</v>
      </c>
      <c r="N1847" t="str">
        <f>VLOOKUP(E1847, Sales_Reps!A:C, 3, FALSE)</f>
        <v>West</v>
      </c>
      <c r="O1847">
        <f>VLOOKUP(D1847, Products!A:D, 4, FALSE)</f>
        <v>1203</v>
      </c>
      <c r="P1847">
        <f>IFERROR(VLOOKUP(C1847, Customers!A:C, 3, FALSE), 0)</f>
        <v>59</v>
      </c>
      <c r="Q1847">
        <f t="shared" si="28"/>
        <v>0.47004405286343615</v>
      </c>
    </row>
    <row r="1848" spans="1:17" x14ac:dyDescent="0.3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  <c r="L1848" t="str">
        <f>VLOOKUP(D1848, Products!A:C, 3, FALSE)</f>
        <v>Home</v>
      </c>
      <c r="M1848" t="str">
        <f>IFERROR(VLOOKUP(C1848, Customers!A:E, 5, FALSE), "Unknown")</f>
        <v>Retail</v>
      </c>
      <c r="N1848" t="str">
        <f>VLOOKUP(E1848, Sales_Reps!A:C, 3, FALSE)</f>
        <v>West</v>
      </c>
      <c r="O1848">
        <f>VLOOKUP(D1848, Products!A:D, 4, FALSE)</f>
        <v>464</v>
      </c>
      <c r="P1848">
        <f>IFERROR(VLOOKUP(C1848, Customers!A:C, 3, FALSE), 0)</f>
        <v>44</v>
      </c>
      <c r="Q1848">
        <f t="shared" si="28"/>
        <v>0.57431192660550456</v>
      </c>
    </row>
    <row r="1849" spans="1:17" x14ac:dyDescent="0.3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  <c r="L1849" t="str">
        <f>VLOOKUP(D1849, Products!A:C, 3, FALSE)</f>
        <v>Home</v>
      </c>
      <c r="M1849" t="str">
        <f>IFERROR(VLOOKUP(C1849, Customers!A:E, 5, FALSE), "Unknown")</f>
        <v>Retail</v>
      </c>
      <c r="N1849" t="str">
        <f>VLOOKUP(E1849, Sales_Reps!A:C, 3, FALSE)</f>
        <v>West</v>
      </c>
      <c r="O1849">
        <f>VLOOKUP(D1849, Products!A:D, 4, FALSE)</f>
        <v>2459</v>
      </c>
      <c r="P1849">
        <f>IFERROR(VLOOKUP(C1849, Customers!A:C, 3, FALSE), 0)</f>
        <v>28</v>
      </c>
      <c r="Q1849">
        <f t="shared" si="28"/>
        <v>0.51594488188976373</v>
      </c>
    </row>
    <row r="1850" spans="1:17" x14ac:dyDescent="0.3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  <c r="L1850" t="str">
        <f>VLOOKUP(D1850, Products!A:C, 3, FALSE)</f>
        <v>Home</v>
      </c>
      <c r="M1850" t="str">
        <f>IFERROR(VLOOKUP(C1850, Customers!A:E, 5, FALSE), "Unknown")</f>
        <v>SMB</v>
      </c>
      <c r="N1850" t="str">
        <f>VLOOKUP(E1850, Sales_Reps!A:C, 3, FALSE)</f>
        <v>East</v>
      </c>
      <c r="O1850">
        <f>VLOOKUP(D1850, Products!A:D, 4, FALSE)</f>
        <v>1850</v>
      </c>
      <c r="P1850">
        <f>IFERROR(VLOOKUP(C1850, Customers!A:C, 3, FALSE), 0)</f>
        <v>59</v>
      </c>
      <c r="Q1850">
        <f t="shared" si="28"/>
        <v>0.59869848156182215</v>
      </c>
    </row>
    <row r="1851" spans="1:17" x14ac:dyDescent="0.3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  <c r="L1851" t="str">
        <f>VLOOKUP(D1851, Products!A:C, 3, FALSE)</f>
        <v>Beauty</v>
      </c>
      <c r="M1851" t="str">
        <f>IFERROR(VLOOKUP(C1851, Customers!A:E, 5, FALSE), "Unknown")</f>
        <v>SMB</v>
      </c>
      <c r="N1851" t="str">
        <f>VLOOKUP(E1851, Sales_Reps!A:C, 3, FALSE)</f>
        <v>West</v>
      </c>
      <c r="O1851">
        <f>VLOOKUP(D1851, Products!A:D, 4, FALSE)</f>
        <v>1626</v>
      </c>
      <c r="P1851">
        <f>IFERROR(VLOOKUP(C1851, Customers!A:C, 3, FALSE), 0)</f>
        <v>65</v>
      </c>
      <c r="Q1851">
        <f t="shared" si="28"/>
        <v>0.46158940397350995</v>
      </c>
    </row>
    <row r="1852" spans="1:17" x14ac:dyDescent="0.3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  <c r="L1852" t="str">
        <f>VLOOKUP(D1852, Products!A:C, 3, FALSE)</f>
        <v>Grocery</v>
      </c>
      <c r="M1852" t="str">
        <f>IFERROR(VLOOKUP(C1852, Customers!A:E, 5, FALSE), "Unknown")</f>
        <v>Retail</v>
      </c>
      <c r="N1852" t="str">
        <f>VLOOKUP(E1852, Sales_Reps!A:C, 3, FALSE)</f>
        <v>West</v>
      </c>
      <c r="O1852">
        <f>VLOOKUP(D1852, Products!A:D, 4, FALSE)</f>
        <v>1412</v>
      </c>
      <c r="P1852">
        <f>IFERROR(VLOOKUP(C1852, Customers!A:C, 3, FALSE), 0)</f>
        <v>43</v>
      </c>
      <c r="Q1852">
        <f t="shared" si="28"/>
        <v>0.37797356828193834</v>
      </c>
    </row>
    <row r="1853" spans="1:17" x14ac:dyDescent="0.3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  <c r="L1853" t="str">
        <f>VLOOKUP(D1853, Products!A:C, 3, FALSE)</f>
        <v>Grocery</v>
      </c>
      <c r="M1853" t="str">
        <f>IFERROR(VLOOKUP(C1853, Customers!A:E, 5, FALSE), "Unknown")</f>
        <v>SMB</v>
      </c>
      <c r="N1853" t="str">
        <f>VLOOKUP(E1853, Sales_Reps!A:C, 3, FALSE)</f>
        <v>South</v>
      </c>
      <c r="O1853">
        <f>VLOOKUP(D1853, Products!A:D, 4, FALSE)</f>
        <v>2027</v>
      </c>
      <c r="P1853">
        <f>IFERROR(VLOOKUP(C1853, Customers!A:C, 3, FALSE), 0)</f>
        <v>39</v>
      </c>
      <c r="Q1853">
        <f t="shared" si="28"/>
        <v>0.50196560196560192</v>
      </c>
    </row>
    <row r="1854" spans="1:17" x14ac:dyDescent="0.3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  <c r="L1854" t="str">
        <f>VLOOKUP(D1854, Products!A:C, 3, FALSE)</f>
        <v>Electronics</v>
      </c>
      <c r="M1854" t="str">
        <f>IFERROR(VLOOKUP(C1854, Customers!A:E, 5, FALSE), "Unknown")</f>
        <v>Corporate</v>
      </c>
      <c r="N1854" t="str">
        <f>VLOOKUP(E1854, Sales_Reps!A:C, 3, FALSE)</f>
        <v>East</v>
      </c>
      <c r="O1854">
        <f>VLOOKUP(D1854, Products!A:D, 4, FALSE)</f>
        <v>517</v>
      </c>
      <c r="P1854">
        <f>IFERROR(VLOOKUP(C1854, Customers!A:C, 3, FALSE), 0)</f>
        <v>34</v>
      </c>
      <c r="Q1854">
        <f t="shared" si="28"/>
        <v>0.57622950819672136</v>
      </c>
    </row>
    <row r="1855" spans="1:17" x14ac:dyDescent="0.3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  <c r="L1855" t="str">
        <f>VLOOKUP(D1855, Products!A:C, 3, FALSE)</f>
        <v>Apparel</v>
      </c>
      <c r="M1855" t="str">
        <f>IFERROR(VLOOKUP(C1855, Customers!A:E, 5, FALSE), "Unknown")</f>
        <v>Retail</v>
      </c>
      <c r="N1855" t="str">
        <f>VLOOKUP(E1855, Sales_Reps!A:C, 3, FALSE)</f>
        <v>West</v>
      </c>
      <c r="O1855">
        <f>VLOOKUP(D1855, Products!A:D, 4, FALSE)</f>
        <v>1173</v>
      </c>
      <c r="P1855">
        <f>IFERROR(VLOOKUP(C1855, Customers!A:C, 3, FALSE), 0)</f>
        <v>23</v>
      </c>
      <c r="Q1855">
        <f t="shared" si="28"/>
        <v>0.52701612903225803</v>
      </c>
    </row>
    <row r="1856" spans="1:17" x14ac:dyDescent="0.3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  <c r="L1856" t="str">
        <f>VLOOKUP(D1856, Products!A:C, 3, FALSE)</f>
        <v>Sports</v>
      </c>
      <c r="M1856" t="str">
        <f>IFERROR(VLOOKUP(C1856, Customers!A:E, 5, FALSE), "Unknown")</f>
        <v>Corporate</v>
      </c>
      <c r="N1856" t="str">
        <f>VLOOKUP(E1856, Sales_Reps!A:C, 3, FALSE)</f>
        <v>North</v>
      </c>
      <c r="O1856">
        <f>VLOOKUP(D1856, Products!A:D, 4, FALSE)</f>
        <v>2028</v>
      </c>
      <c r="P1856">
        <f>IFERROR(VLOOKUP(C1856, Customers!A:C, 3, FALSE), 0)</f>
        <v>37</v>
      </c>
      <c r="Q1856">
        <f t="shared" si="28"/>
        <v>0.29090909090909089</v>
      </c>
    </row>
    <row r="1857" spans="1:17" x14ac:dyDescent="0.3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  <c r="L1857" t="str">
        <f>VLOOKUP(D1857, Products!A:C, 3, FALSE)</f>
        <v>Grocery</v>
      </c>
      <c r="M1857" t="str">
        <f>IFERROR(VLOOKUP(C1857, Customers!A:E, 5, FALSE), "Unknown")</f>
        <v>Retail</v>
      </c>
      <c r="N1857" t="str">
        <f>VLOOKUP(E1857, Sales_Reps!A:C, 3, FALSE)</f>
        <v>West</v>
      </c>
      <c r="O1857">
        <f>VLOOKUP(D1857, Products!A:D, 4, FALSE)</f>
        <v>2436</v>
      </c>
      <c r="P1857">
        <f>IFERROR(VLOOKUP(C1857, Customers!A:C, 3, FALSE), 0)</f>
        <v>31</v>
      </c>
      <c r="Q1857">
        <f t="shared" si="28"/>
        <v>0.35555555555555557</v>
      </c>
    </row>
    <row r="1858" spans="1:17" x14ac:dyDescent="0.3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  <c r="L1858" t="str">
        <f>VLOOKUP(D1858, Products!A:C, 3, FALSE)</f>
        <v>Sports</v>
      </c>
      <c r="M1858" t="str">
        <f>IFERROR(VLOOKUP(C1858, Customers!A:E, 5, FALSE), "Unknown")</f>
        <v>Corporate</v>
      </c>
      <c r="N1858" t="str">
        <f>VLOOKUP(E1858, Sales_Reps!A:C, 3, FALSE)</f>
        <v>West</v>
      </c>
      <c r="O1858">
        <f>VLOOKUP(D1858, Products!A:D, 4, FALSE)</f>
        <v>2028</v>
      </c>
      <c r="P1858">
        <f>IFERROR(VLOOKUP(C1858, Customers!A:C, 3, FALSE), 0)</f>
        <v>29</v>
      </c>
      <c r="Q1858">
        <f t="shared" si="28"/>
        <v>0.29090909090909089</v>
      </c>
    </row>
    <row r="1859" spans="1:17" x14ac:dyDescent="0.3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  <c r="L1859" t="str">
        <f>VLOOKUP(D1859, Products!A:C, 3, FALSE)</f>
        <v>Sports</v>
      </c>
      <c r="M1859" t="str">
        <f>IFERROR(VLOOKUP(C1859, Customers!A:E, 5, FALSE), "Unknown")</f>
        <v>SMB</v>
      </c>
      <c r="N1859" t="str">
        <f>VLOOKUP(E1859, Sales_Reps!A:C, 3, FALSE)</f>
        <v>West</v>
      </c>
      <c r="O1859">
        <f>VLOOKUP(D1859, Products!A:D, 4, FALSE)</f>
        <v>974</v>
      </c>
      <c r="P1859">
        <f>IFERROR(VLOOKUP(C1859, Customers!A:C, 3, FALSE), 0)</f>
        <v>29</v>
      </c>
      <c r="Q1859">
        <f t="shared" ref="Q1859:Q1922" si="29">(G1859 - O1859) / G1859</f>
        <v>0.59416666666666662</v>
      </c>
    </row>
    <row r="1860" spans="1:17" x14ac:dyDescent="0.3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  <c r="L1860" t="str">
        <f>VLOOKUP(D1860, Products!A:C, 3, FALSE)</f>
        <v>Grocery</v>
      </c>
      <c r="M1860" t="str">
        <f>IFERROR(VLOOKUP(C1860, Customers!A:E, 5, FALSE), "Unknown")</f>
        <v>Retail</v>
      </c>
      <c r="N1860" t="str">
        <f>VLOOKUP(E1860, Sales_Reps!A:C, 3, FALSE)</f>
        <v>West</v>
      </c>
      <c r="O1860">
        <f>VLOOKUP(D1860, Products!A:D, 4, FALSE)</f>
        <v>1182</v>
      </c>
      <c r="P1860">
        <f>IFERROR(VLOOKUP(C1860, Customers!A:C, 3, FALSE), 0)</f>
        <v>54</v>
      </c>
      <c r="Q1860">
        <f t="shared" si="29"/>
        <v>0.50336134453781511</v>
      </c>
    </row>
    <row r="1861" spans="1:17" x14ac:dyDescent="0.3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  <c r="L1861" t="str">
        <f>VLOOKUP(D1861, Products!A:C, 3, FALSE)</f>
        <v>Beauty</v>
      </c>
      <c r="M1861" t="str">
        <f>IFERROR(VLOOKUP(C1861, Customers!A:E, 5, FALSE), "Unknown")</f>
        <v>Retail</v>
      </c>
      <c r="N1861" t="str">
        <f>VLOOKUP(E1861, Sales_Reps!A:C, 3, FALSE)</f>
        <v>North</v>
      </c>
      <c r="O1861">
        <f>VLOOKUP(D1861, Products!A:D, 4, FALSE)</f>
        <v>2237</v>
      </c>
      <c r="P1861">
        <f>IFERROR(VLOOKUP(C1861, Customers!A:C, 3, FALSE), 0)</f>
        <v>29</v>
      </c>
      <c r="Q1861">
        <f t="shared" si="29"/>
        <v>0.56137254901960787</v>
      </c>
    </row>
    <row r="1862" spans="1:17" x14ac:dyDescent="0.3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  <c r="L1862" t="str">
        <f>VLOOKUP(D1862, Products!A:C, 3, FALSE)</f>
        <v>Electronics</v>
      </c>
      <c r="M1862" t="str">
        <f>IFERROR(VLOOKUP(C1862, Customers!A:E, 5, FALSE), "Unknown")</f>
        <v>Corporate</v>
      </c>
      <c r="N1862" t="str">
        <f>VLOOKUP(E1862, Sales_Reps!A:C, 3, FALSE)</f>
        <v>South</v>
      </c>
      <c r="O1862">
        <f>VLOOKUP(D1862, Products!A:D, 4, FALSE)</f>
        <v>128</v>
      </c>
      <c r="P1862">
        <f>IFERROR(VLOOKUP(C1862, Customers!A:C, 3, FALSE), 0)</f>
        <v>29</v>
      </c>
      <c r="Q1862">
        <f t="shared" si="29"/>
        <v>0.57333333333333336</v>
      </c>
    </row>
    <row r="1863" spans="1:17" x14ac:dyDescent="0.3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  <c r="L1863" t="str">
        <f>VLOOKUP(D1863, Products!A:C, 3, FALSE)</f>
        <v>Sports</v>
      </c>
      <c r="M1863" t="str">
        <f>IFERROR(VLOOKUP(C1863, Customers!A:E, 5, FALSE), "Unknown")</f>
        <v>SMB</v>
      </c>
      <c r="N1863" t="str">
        <f>VLOOKUP(E1863, Sales_Reps!A:C, 3, FALSE)</f>
        <v>South</v>
      </c>
      <c r="O1863">
        <f>VLOOKUP(D1863, Products!A:D, 4, FALSE)</f>
        <v>2467</v>
      </c>
      <c r="P1863">
        <f>IFERROR(VLOOKUP(C1863, Customers!A:C, 3, FALSE), 0)</f>
        <v>27</v>
      </c>
      <c r="Q1863">
        <f t="shared" si="29"/>
        <v>0.28492753623188405</v>
      </c>
    </row>
    <row r="1864" spans="1:17" x14ac:dyDescent="0.3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  <c r="L1864" t="str">
        <f>VLOOKUP(D1864, Products!A:C, 3, FALSE)</f>
        <v>Sports</v>
      </c>
      <c r="M1864" t="str">
        <f>IFERROR(VLOOKUP(C1864, Customers!A:E, 5, FALSE), "Unknown")</f>
        <v>Retail</v>
      </c>
      <c r="N1864" t="str">
        <f>VLOOKUP(E1864, Sales_Reps!A:C, 3, FALSE)</f>
        <v>South</v>
      </c>
      <c r="O1864">
        <f>VLOOKUP(D1864, Products!A:D, 4, FALSE)</f>
        <v>2028</v>
      </c>
      <c r="P1864">
        <f>IFERROR(VLOOKUP(C1864, Customers!A:C, 3, FALSE), 0)</f>
        <v>35</v>
      </c>
      <c r="Q1864">
        <f t="shared" si="29"/>
        <v>0.29090909090909089</v>
      </c>
    </row>
    <row r="1865" spans="1:17" x14ac:dyDescent="0.3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  <c r="L1865" t="str">
        <f>VLOOKUP(D1865, Products!A:C, 3, FALSE)</f>
        <v>Apparel</v>
      </c>
      <c r="M1865" t="str">
        <f>IFERROR(VLOOKUP(C1865, Customers!A:E, 5, FALSE), "Unknown")</f>
        <v>Retail</v>
      </c>
      <c r="N1865" t="str">
        <f>VLOOKUP(E1865, Sales_Reps!A:C, 3, FALSE)</f>
        <v>North</v>
      </c>
      <c r="O1865">
        <f>VLOOKUP(D1865, Products!A:D, 4, FALSE)</f>
        <v>1962</v>
      </c>
      <c r="P1865">
        <f>IFERROR(VLOOKUP(C1865, Customers!A:C, 3, FALSE), 0)</f>
        <v>44</v>
      </c>
      <c r="Q1865">
        <f t="shared" si="29"/>
        <v>0.2786764705882353</v>
      </c>
    </row>
    <row r="1866" spans="1:17" x14ac:dyDescent="0.3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  <c r="L1866" t="str">
        <f>VLOOKUP(D1866, Products!A:C, 3, FALSE)</f>
        <v>Home</v>
      </c>
      <c r="M1866" t="str">
        <f>IFERROR(VLOOKUP(C1866, Customers!A:E, 5, FALSE), "Unknown")</f>
        <v>Corporate</v>
      </c>
      <c r="N1866" t="str">
        <f>VLOOKUP(E1866, Sales_Reps!A:C, 3, FALSE)</f>
        <v>West</v>
      </c>
      <c r="O1866">
        <f>VLOOKUP(D1866, Products!A:D, 4, FALSE)</f>
        <v>2135</v>
      </c>
      <c r="P1866">
        <f>IFERROR(VLOOKUP(C1866, Customers!A:C, 3, FALSE), 0)</f>
        <v>51</v>
      </c>
      <c r="Q1866">
        <f t="shared" si="29"/>
        <v>0.42761394101876676</v>
      </c>
    </row>
    <row r="1867" spans="1:17" x14ac:dyDescent="0.3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  <c r="L1867" t="str">
        <f>VLOOKUP(D1867, Products!A:C, 3, FALSE)</f>
        <v>Grocery</v>
      </c>
      <c r="M1867" t="str">
        <f>IFERROR(VLOOKUP(C1867, Customers!A:E, 5, FALSE), "Unknown")</f>
        <v>Retail</v>
      </c>
      <c r="N1867" t="str">
        <f>VLOOKUP(E1867, Sales_Reps!A:C, 3, FALSE)</f>
        <v>North</v>
      </c>
      <c r="O1867">
        <f>VLOOKUP(D1867, Products!A:D, 4, FALSE)</f>
        <v>2911</v>
      </c>
      <c r="P1867">
        <f>IFERROR(VLOOKUP(C1867, Customers!A:C, 3, FALSE), 0)</f>
        <v>38</v>
      </c>
      <c r="Q1867">
        <f t="shared" si="29"/>
        <v>0.28300492610837441</v>
      </c>
    </row>
    <row r="1868" spans="1:17" x14ac:dyDescent="0.3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  <c r="L1868" t="str">
        <f>VLOOKUP(D1868, Products!A:C, 3, FALSE)</f>
        <v>Beauty</v>
      </c>
      <c r="M1868" t="str">
        <f>IFERROR(VLOOKUP(C1868, Customers!A:E, 5, FALSE), "Unknown")</f>
        <v>Retail</v>
      </c>
      <c r="N1868" t="str">
        <f>VLOOKUP(E1868, Sales_Reps!A:C, 3, FALSE)</f>
        <v>East</v>
      </c>
      <c r="O1868">
        <f>VLOOKUP(D1868, Products!A:D, 4, FALSE)</f>
        <v>1219</v>
      </c>
      <c r="P1868">
        <f>IFERROR(VLOOKUP(C1868, Customers!A:C, 3, FALSE), 0)</f>
        <v>28</v>
      </c>
      <c r="Q1868">
        <f t="shared" si="29"/>
        <v>0.46768558951965067</v>
      </c>
    </row>
    <row r="1869" spans="1:17" x14ac:dyDescent="0.3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  <c r="L1869" t="str">
        <f>VLOOKUP(D1869, Products!A:C, 3, FALSE)</f>
        <v>Sports</v>
      </c>
      <c r="M1869" t="str">
        <f>IFERROR(VLOOKUP(C1869, Customers!A:E, 5, FALSE), "Unknown")</f>
        <v>Retail</v>
      </c>
      <c r="N1869" t="str">
        <f>VLOOKUP(E1869, Sales_Reps!A:C, 3, FALSE)</f>
        <v>South</v>
      </c>
      <c r="O1869">
        <f>VLOOKUP(D1869, Products!A:D, 4, FALSE)</f>
        <v>2827</v>
      </c>
      <c r="P1869">
        <f>IFERROR(VLOOKUP(C1869, Customers!A:C, 3, FALSE), 0)</f>
        <v>60</v>
      </c>
      <c r="Q1869">
        <f t="shared" si="29"/>
        <v>0.5926512968299712</v>
      </c>
    </row>
    <row r="1870" spans="1:17" x14ac:dyDescent="0.3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  <c r="L1870" t="str">
        <f>VLOOKUP(D1870, Products!A:C, 3, FALSE)</f>
        <v>Home</v>
      </c>
      <c r="M1870" t="str">
        <f>IFERROR(VLOOKUP(C1870, Customers!A:E, 5, FALSE), "Unknown")</f>
        <v>Retail</v>
      </c>
      <c r="N1870" t="str">
        <f>VLOOKUP(E1870, Sales_Reps!A:C, 3, FALSE)</f>
        <v>South</v>
      </c>
      <c r="O1870">
        <f>VLOOKUP(D1870, Products!A:D, 4, FALSE)</f>
        <v>2135</v>
      </c>
      <c r="P1870">
        <f>IFERROR(VLOOKUP(C1870, Customers!A:C, 3, FALSE), 0)</f>
        <v>61</v>
      </c>
      <c r="Q1870">
        <f t="shared" si="29"/>
        <v>0.42761394101876676</v>
      </c>
    </row>
    <row r="1871" spans="1:17" x14ac:dyDescent="0.3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  <c r="L1871" t="str">
        <f>VLOOKUP(D1871, Products!A:C, 3, FALSE)</f>
        <v>Home</v>
      </c>
      <c r="M1871" t="str">
        <f>IFERROR(VLOOKUP(C1871, Customers!A:E, 5, FALSE), "Unknown")</f>
        <v>Retail</v>
      </c>
      <c r="N1871" t="str">
        <f>VLOOKUP(E1871, Sales_Reps!A:C, 3, FALSE)</f>
        <v>North</v>
      </c>
      <c r="O1871">
        <f>VLOOKUP(D1871, Products!A:D, 4, FALSE)</f>
        <v>2135</v>
      </c>
      <c r="P1871">
        <f>IFERROR(VLOOKUP(C1871, Customers!A:C, 3, FALSE), 0)</f>
        <v>26</v>
      </c>
      <c r="Q1871">
        <f t="shared" si="29"/>
        <v>0.42761394101876676</v>
      </c>
    </row>
    <row r="1872" spans="1:17" x14ac:dyDescent="0.3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  <c r="L1872" t="str">
        <f>VLOOKUP(D1872, Products!A:C, 3, FALSE)</f>
        <v>Grocery</v>
      </c>
      <c r="M1872" t="str">
        <f>IFERROR(VLOOKUP(C1872, Customers!A:E, 5, FALSE), "Unknown")</f>
        <v>Retail</v>
      </c>
      <c r="N1872" t="str">
        <f>VLOOKUP(E1872, Sales_Reps!A:C, 3, FALSE)</f>
        <v>South</v>
      </c>
      <c r="O1872">
        <f>VLOOKUP(D1872, Products!A:D, 4, FALSE)</f>
        <v>1182</v>
      </c>
      <c r="P1872">
        <f>IFERROR(VLOOKUP(C1872, Customers!A:C, 3, FALSE), 0)</f>
        <v>62</v>
      </c>
      <c r="Q1872">
        <f t="shared" si="29"/>
        <v>0.50336134453781511</v>
      </c>
    </row>
    <row r="1873" spans="1:17" x14ac:dyDescent="0.3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  <c r="L1873" t="str">
        <f>VLOOKUP(D1873, Products!A:C, 3, FALSE)</f>
        <v>Home</v>
      </c>
      <c r="M1873" t="str">
        <f>IFERROR(VLOOKUP(C1873, Customers!A:E, 5, FALSE), "Unknown")</f>
        <v>Retail</v>
      </c>
      <c r="N1873" t="str">
        <f>VLOOKUP(E1873, Sales_Reps!A:C, 3, FALSE)</f>
        <v>North</v>
      </c>
      <c r="O1873">
        <f>VLOOKUP(D1873, Products!A:D, 4, FALSE)</f>
        <v>519</v>
      </c>
      <c r="P1873">
        <f>IFERROR(VLOOKUP(C1873, Customers!A:C, 3, FALSE), 0)</f>
        <v>44</v>
      </c>
      <c r="Q1873">
        <f t="shared" si="29"/>
        <v>0.51944444444444449</v>
      </c>
    </row>
    <row r="1874" spans="1:17" x14ac:dyDescent="0.3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  <c r="L1874" t="str">
        <f>VLOOKUP(D1874, Products!A:C, 3, FALSE)</f>
        <v>Sports</v>
      </c>
      <c r="M1874" t="str">
        <f>IFERROR(VLOOKUP(C1874, Customers!A:E, 5, FALSE), "Unknown")</f>
        <v>Retail</v>
      </c>
      <c r="N1874" t="str">
        <f>VLOOKUP(E1874, Sales_Reps!A:C, 3, FALSE)</f>
        <v>South</v>
      </c>
      <c r="O1874">
        <f>VLOOKUP(D1874, Products!A:D, 4, FALSE)</f>
        <v>302</v>
      </c>
      <c r="P1874">
        <f>IFERROR(VLOOKUP(C1874, Customers!A:C, 3, FALSE), 0)</f>
        <v>22</v>
      </c>
      <c r="Q1874">
        <f t="shared" si="29"/>
        <v>0.35744680851063831</v>
      </c>
    </row>
    <row r="1875" spans="1:17" x14ac:dyDescent="0.3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  <c r="L1875" t="str">
        <f>VLOOKUP(D1875, Products!A:C, 3, FALSE)</f>
        <v>Home</v>
      </c>
      <c r="M1875" t="str">
        <f>IFERROR(VLOOKUP(C1875, Customers!A:E, 5, FALSE), "Unknown")</f>
        <v>Retail</v>
      </c>
      <c r="N1875" t="str">
        <f>VLOOKUP(E1875, Sales_Reps!A:C, 3, FALSE)</f>
        <v>West</v>
      </c>
      <c r="O1875">
        <f>VLOOKUP(D1875, Products!A:D, 4, FALSE)</f>
        <v>288</v>
      </c>
      <c r="P1875">
        <f>IFERROR(VLOOKUP(C1875, Customers!A:C, 3, FALSE), 0)</f>
        <v>54</v>
      </c>
      <c r="Q1875">
        <f t="shared" si="29"/>
        <v>0.22162162162162163</v>
      </c>
    </row>
    <row r="1876" spans="1:17" x14ac:dyDescent="0.3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  <c r="L1876" t="str">
        <f>VLOOKUP(D1876, Products!A:C, 3, FALSE)</f>
        <v>Apparel</v>
      </c>
      <c r="M1876" t="str">
        <f>IFERROR(VLOOKUP(C1876, Customers!A:E, 5, FALSE), "Unknown")</f>
        <v>SMB</v>
      </c>
      <c r="N1876" t="str">
        <f>VLOOKUP(E1876, Sales_Reps!A:C, 3, FALSE)</f>
        <v>North</v>
      </c>
      <c r="O1876">
        <f>VLOOKUP(D1876, Products!A:D, 4, FALSE)</f>
        <v>1886</v>
      </c>
      <c r="P1876">
        <f>IFERROR(VLOOKUP(C1876, Customers!A:C, 3, FALSE), 0)</f>
        <v>65</v>
      </c>
      <c r="Q1876">
        <f t="shared" si="29"/>
        <v>0.4031645569620253</v>
      </c>
    </row>
    <row r="1877" spans="1:17" x14ac:dyDescent="0.3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  <c r="L1877" t="str">
        <f>VLOOKUP(D1877, Products!A:C, 3, FALSE)</f>
        <v>Apparel</v>
      </c>
      <c r="M1877" t="str">
        <f>IFERROR(VLOOKUP(C1877, Customers!A:E, 5, FALSE), "Unknown")</f>
        <v>Retail</v>
      </c>
      <c r="N1877" t="str">
        <f>VLOOKUP(E1877, Sales_Reps!A:C, 3, FALSE)</f>
        <v>West</v>
      </c>
      <c r="O1877">
        <f>VLOOKUP(D1877, Products!A:D, 4, FALSE)</f>
        <v>2629</v>
      </c>
      <c r="P1877">
        <f>IFERROR(VLOOKUP(C1877, Customers!A:C, 3, FALSE), 0)</f>
        <v>59</v>
      </c>
      <c r="Q1877">
        <f t="shared" si="29"/>
        <v>0.26151685393258428</v>
      </c>
    </row>
    <row r="1878" spans="1:17" x14ac:dyDescent="0.3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  <c r="L1878" t="str">
        <f>VLOOKUP(D1878, Products!A:C, 3, FALSE)</f>
        <v>Home</v>
      </c>
      <c r="M1878" t="str">
        <f>IFERROR(VLOOKUP(C1878, Customers!A:E, 5, FALSE), "Unknown")</f>
        <v>SMB</v>
      </c>
      <c r="N1878" t="str">
        <f>VLOOKUP(E1878, Sales_Reps!A:C, 3, FALSE)</f>
        <v>East</v>
      </c>
      <c r="O1878">
        <f>VLOOKUP(D1878, Products!A:D, 4, FALSE)</f>
        <v>1143</v>
      </c>
      <c r="P1878">
        <f>IFERROR(VLOOKUP(C1878, Customers!A:C, 3, FALSE), 0)</f>
        <v>64</v>
      </c>
      <c r="Q1878">
        <f t="shared" si="29"/>
        <v>0.43694581280788175</v>
      </c>
    </row>
    <row r="1879" spans="1:17" x14ac:dyDescent="0.3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  <c r="L1879" t="str">
        <f>VLOOKUP(D1879, Products!A:C, 3, FALSE)</f>
        <v>Electronics</v>
      </c>
      <c r="M1879" t="str">
        <f>IFERROR(VLOOKUP(C1879, Customers!A:E, 5, FALSE), "Unknown")</f>
        <v>Corporate</v>
      </c>
      <c r="N1879" t="str">
        <f>VLOOKUP(E1879, Sales_Reps!A:C, 3, FALSE)</f>
        <v>East</v>
      </c>
      <c r="O1879">
        <f>VLOOKUP(D1879, Products!A:D, 4, FALSE)</f>
        <v>1149</v>
      </c>
      <c r="P1879">
        <f>IFERROR(VLOOKUP(C1879, Customers!A:C, 3, FALSE), 0)</f>
        <v>35</v>
      </c>
      <c r="Q1879">
        <f t="shared" si="29"/>
        <v>0.56477272727272732</v>
      </c>
    </row>
    <row r="1880" spans="1:17" x14ac:dyDescent="0.3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  <c r="L1880" t="str">
        <f>VLOOKUP(D1880, Products!A:C, 3, FALSE)</f>
        <v>Grocery</v>
      </c>
      <c r="M1880" t="str">
        <f>IFERROR(VLOOKUP(C1880, Customers!A:E, 5, FALSE), "Unknown")</f>
        <v>Retail</v>
      </c>
      <c r="N1880" t="str">
        <f>VLOOKUP(E1880, Sales_Reps!A:C, 3, FALSE)</f>
        <v>North</v>
      </c>
      <c r="O1880">
        <f>VLOOKUP(D1880, Products!A:D, 4, FALSE)</f>
        <v>1412</v>
      </c>
      <c r="P1880">
        <f>IFERROR(VLOOKUP(C1880, Customers!A:C, 3, FALSE), 0)</f>
        <v>37</v>
      </c>
      <c r="Q1880">
        <f t="shared" si="29"/>
        <v>0.37797356828193834</v>
      </c>
    </row>
    <row r="1881" spans="1:17" x14ac:dyDescent="0.3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  <c r="L1881" t="str">
        <f>VLOOKUP(D1881, Products!A:C, 3, FALSE)</f>
        <v>Home</v>
      </c>
      <c r="M1881" t="str">
        <f>IFERROR(VLOOKUP(C1881, Customers!A:E, 5, FALSE), "Unknown")</f>
        <v>Retail</v>
      </c>
      <c r="N1881" t="str">
        <f>VLOOKUP(E1881, Sales_Reps!A:C, 3, FALSE)</f>
        <v>North</v>
      </c>
      <c r="O1881">
        <f>VLOOKUP(D1881, Products!A:D, 4, FALSE)</f>
        <v>288</v>
      </c>
      <c r="P1881">
        <f>IFERROR(VLOOKUP(C1881, Customers!A:C, 3, FALSE), 0)</f>
        <v>44</v>
      </c>
      <c r="Q1881">
        <f t="shared" si="29"/>
        <v>0.22162162162162163</v>
      </c>
    </row>
    <row r="1882" spans="1:17" x14ac:dyDescent="0.3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  <c r="L1882" t="str">
        <f>VLOOKUP(D1882, Products!A:C, 3, FALSE)</f>
        <v>Beauty</v>
      </c>
      <c r="M1882" t="str">
        <f>IFERROR(VLOOKUP(C1882, Customers!A:E, 5, FALSE), "Unknown")</f>
        <v>SMB</v>
      </c>
      <c r="N1882" t="str">
        <f>VLOOKUP(E1882, Sales_Reps!A:C, 3, FALSE)</f>
        <v>East</v>
      </c>
      <c r="O1882">
        <f>VLOOKUP(D1882, Products!A:D, 4, FALSE)</f>
        <v>2237</v>
      </c>
      <c r="P1882">
        <f>IFERROR(VLOOKUP(C1882, Customers!A:C, 3, FALSE), 0)</f>
        <v>55</v>
      </c>
      <c r="Q1882">
        <f t="shared" si="29"/>
        <v>0.56137254901960787</v>
      </c>
    </row>
    <row r="1883" spans="1:17" x14ac:dyDescent="0.3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  <c r="L1883" t="str">
        <f>VLOOKUP(D1883, Products!A:C, 3, FALSE)</f>
        <v>Home</v>
      </c>
      <c r="M1883" t="str">
        <f>IFERROR(VLOOKUP(C1883, Customers!A:E, 5, FALSE), "Unknown")</f>
        <v>Retail</v>
      </c>
      <c r="N1883" t="str">
        <f>VLOOKUP(E1883, Sales_Reps!A:C, 3, FALSE)</f>
        <v>East</v>
      </c>
      <c r="O1883">
        <f>VLOOKUP(D1883, Products!A:D, 4, FALSE)</f>
        <v>288</v>
      </c>
      <c r="P1883">
        <f>IFERROR(VLOOKUP(C1883, Customers!A:C, 3, FALSE), 0)</f>
        <v>22</v>
      </c>
      <c r="Q1883">
        <f t="shared" si="29"/>
        <v>0.22162162162162163</v>
      </c>
    </row>
    <row r="1884" spans="1:17" x14ac:dyDescent="0.3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  <c r="L1884" t="str">
        <f>VLOOKUP(D1884, Products!A:C, 3, FALSE)</f>
        <v>Grocery</v>
      </c>
      <c r="M1884" t="str">
        <f>IFERROR(VLOOKUP(C1884, Customers!A:E, 5, FALSE), "Unknown")</f>
        <v>SMB</v>
      </c>
      <c r="N1884" t="str">
        <f>VLOOKUP(E1884, Sales_Reps!A:C, 3, FALSE)</f>
        <v>North</v>
      </c>
      <c r="O1884">
        <f>VLOOKUP(D1884, Products!A:D, 4, FALSE)</f>
        <v>434</v>
      </c>
      <c r="P1884">
        <f>IFERROR(VLOOKUP(C1884, Customers!A:C, 3, FALSE), 0)</f>
        <v>24</v>
      </c>
      <c r="Q1884">
        <f t="shared" si="29"/>
        <v>0.5525773195876289</v>
      </c>
    </row>
    <row r="1885" spans="1:17" x14ac:dyDescent="0.3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  <c r="L1885" t="str">
        <f>VLOOKUP(D1885, Products!A:C, 3, FALSE)</f>
        <v>Grocery</v>
      </c>
      <c r="M1885" t="str">
        <f>IFERROR(VLOOKUP(C1885, Customers!A:E, 5, FALSE), "Unknown")</f>
        <v>Unknown</v>
      </c>
      <c r="N1885" t="str">
        <f>VLOOKUP(E1885, Sales_Reps!A:C, 3, FALSE)</f>
        <v>West</v>
      </c>
      <c r="O1885">
        <f>VLOOKUP(D1885, Products!A:D, 4, FALSE)</f>
        <v>1010</v>
      </c>
      <c r="P1885">
        <f>IFERROR(VLOOKUP(C1885, Customers!A:C, 3, FALSE), 0)</f>
        <v>0</v>
      </c>
      <c r="Q1885">
        <f t="shared" si="29"/>
        <v>0.54298642533936647</v>
      </c>
    </row>
    <row r="1886" spans="1:17" x14ac:dyDescent="0.3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  <c r="L1886" t="str">
        <f>VLOOKUP(D1886, Products!A:C, 3, FALSE)</f>
        <v>Beauty</v>
      </c>
      <c r="M1886" t="str">
        <f>IFERROR(VLOOKUP(C1886, Customers!A:E, 5, FALSE), "Unknown")</f>
        <v>Corporate</v>
      </c>
      <c r="N1886" t="str">
        <f>VLOOKUP(E1886, Sales_Reps!A:C, 3, FALSE)</f>
        <v>North</v>
      </c>
      <c r="O1886">
        <f>VLOOKUP(D1886, Products!A:D, 4, FALSE)</f>
        <v>1222</v>
      </c>
      <c r="P1886">
        <f>IFERROR(VLOOKUP(C1886, Customers!A:C, 3, FALSE), 0)</f>
        <v>27</v>
      </c>
      <c r="Q1886">
        <f t="shared" si="29"/>
        <v>0.2593939393939394</v>
      </c>
    </row>
    <row r="1887" spans="1:17" x14ac:dyDescent="0.3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  <c r="L1887" t="str">
        <f>VLOOKUP(D1887, Products!A:C, 3, FALSE)</f>
        <v>Sports</v>
      </c>
      <c r="M1887" t="str">
        <f>IFERROR(VLOOKUP(C1887, Customers!A:E, 5, FALSE), "Unknown")</f>
        <v>Retail</v>
      </c>
      <c r="N1887" t="str">
        <f>VLOOKUP(E1887, Sales_Reps!A:C, 3, FALSE)</f>
        <v>North</v>
      </c>
      <c r="O1887">
        <f>VLOOKUP(D1887, Products!A:D, 4, FALSE)</f>
        <v>2827</v>
      </c>
      <c r="P1887">
        <f>IFERROR(VLOOKUP(C1887, Customers!A:C, 3, FALSE), 0)</f>
        <v>65</v>
      </c>
      <c r="Q1887">
        <f t="shared" si="29"/>
        <v>0.5926512968299712</v>
      </c>
    </row>
    <row r="1888" spans="1:17" x14ac:dyDescent="0.3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  <c r="L1888" t="str">
        <f>VLOOKUP(D1888, Products!A:C, 3, FALSE)</f>
        <v>Grocery</v>
      </c>
      <c r="M1888" t="str">
        <f>IFERROR(VLOOKUP(C1888, Customers!A:E, 5, FALSE), "Unknown")</f>
        <v>Corporate</v>
      </c>
      <c r="N1888" t="str">
        <f>VLOOKUP(E1888, Sales_Reps!A:C, 3, FALSE)</f>
        <v>East</v>
      </c>
      <c r="O1888">
        <f>VLOOKUP(D1888, Products!A:D, 4, FALSE)</f>
        <v>1010</v>
      </c>
      <c r="P1888">
        <f>IFERROR(VLOOKUP(C1888, Customers!A:C, 3, FALSE), 0)</f>
        <v>29</v>
      </c>
      <c r="Q1888">
        <f t="shared" si="29"/>
        <v>0.54298642533936647</v>
      </c>
    </row>
    <row r="1889" spans="1:17" x14ac:dyDescent="0.3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  <c r="L1889" t="str">
        <f>VLOOKUP(D1889, Products!A:C, 3, FALSE)</f>
        <v>Electronics</v>
      </c>
      <c r="M1889" t="str">
        <f>IFERROR(VLOOKUP(C1889, Customers!A:E, 5, FALSE), "Unknown")</f>
        <v>SMB</v>
      </c>
      <c r="N1889" t="str">
        <f>VLOOKUP(E1889, Sales_Reps!A:C, 3, FALSE)</f>
        <v>South</v>
      </c>
      <c r="O1889">
        <f>VLOOKUP(D1889, Products!A:D, 4, FALSE)</f>
        <v>1052</v>
      </c>
      <c r="P1889">
        <f>IFERROR(VLOOKUP(C1889, Customers!A:C, 3, FALSE), 0)</f>
        <v>60</v>
      </c>
      <c r="Q1889">
        <f t="shared" si="29"/>
        <v>0.5953846153846154</v>
      </c>
    </row>
    <row r="1890" spans="1:17" x14ac:dyDescent="0.3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  <c r="L1890" t="str">
        <f>VLOOKUP(D1890, Products!A:C, 3, FALSE)</f>
        <v>Sports</v>
      </c>
      <c r="M1890" t="str">
        <f>IFERROR(VLOOKUP(C1890, Customers!A:E, 5, FALSE), "Unknown")</f>
        <v>Retail</v>
      </c>
      <c r="N1890" t="str">
        <f>VLOOKUP(E1890, Sales_Reps!A:C, 3, FALSE)</f>
        <v>North</v>
      </c>
      <c r="O1890">
        <f>VLOOKUP(D1890, Products!A:D, 4, FALSE)</f>
        <v>1860</v>
      </c>
      <c r="P1890">
        <f>IFERROR(VLOOKUP(C1890, Customers!A:C, 3, FALSE), 0)</f>
        <v>35</v>
      </c>
      <c r="Q1890">
        <f t="shared" si="29"/>
        <v>0.50793650793650791</v>
      </c>
    </row>
    <row r="1891" spans="1:17" x14ac:dyDescent="0.3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  <c r="L1891" t="str">
        <f>VLOOKUP(D1891, Products!A:C, 3, FALSE)</f>
        <v>Sports</v>
      </c>
      <c r="M1891" t="str">
        <f>IFERROR(VLOOKUP(C1891, Customers!A:E, 5, FALSE), "Unknown")</f>
        <v>Corporate</v>
      </c>
      <c r="N1891" t="str">
        <f>VLOOKUP(E1891, Sales_Reps!A:C, 3, FALSE)</f>
        <v>South</v>
      </c>
      <c r="O1891">
        <f>VLOOKUP(D1891, Products!A:D, 4, FALSE)</f>
        <v>974</v>
      </c>
      <c r="P1891">
        <f>IFERROR(VLOOKUP(C1891, Customers!A:C, 3, FALSE), 0)</f>
        <v>55</v>
      </c>
      <c r="Q1891">
        <f t="shared" si="29"/>
        <v>0.59416666666666662</v>
      </c>
    </row>
    <row r="1892" spans="1:17" x14ac:dyDescent="0.3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  <c r="L1892" t="str">
        <f>VLOOKUP(D1892, Products!A:C, 3, FALSE)</f>
        <v>Electronics</v>
      </c>
      <c r="M1892" t="str">
        <f>IFERROR(VLOOKUP(C1892, Customers!A:E, 5, FALSE), "Unknown")</f>
        <v>Retail</v>
      </c>
      <c r="N1892" t="str">
        <f>VLOOKUP(E1892, Sales_Reps!A:C, 3, FALSE)</f>
        <v>North</v>
      </c>
      <c r="O1892">
        <f>VLOOKUP(D1892, Products!A:D, 4, FALSE)</f>
        <v>128</v>
      </c>
      <c r="P1892">
        <f>IFERROR(VLOOKUP(C1892, Customers!A:C, 3, FALSE), 0)</f>
        <v>25</v>
      </c>
      <c r="Q1892">
        <f t="shared" si="29"/>
        <v>0.57333333333333336</v>
      </c>
    </row>
    <row r="1893" spans="1:17" x14ac:dyDescent="0.3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  <c r="L1893" t="str">
        <f>VLOOKUP(D1893, Products!A:C, 3, FALSE)</f>
        <v>Grocery</v>
      </c>
      <c r="M1893" t="str">
        <f>IFERROR(VLOOKUP(C1893, Customers!A:E, 5, FALSE), "Unknown")</f>
        <v>Corporate</v>
      </c>
      <c r="N1893" t="str">
        <f>VLOOKUP(E1893, Sales_Reps!A:C, 3, FALSE)</f>
        <v>South</v>
      </c>
      <c r="O1893">
        <f>VLOOKUP(D1893, Products!A:D, 4, FALSE)</f>
        <v>2214</v>
      </c>
      <c r="P1893">
        <f>IFERROR(VLOOKUP(C1893, Customers!A:C, 3, FALSE), 0)</f>
        <v>55</v>
      </c>
      <c r="Q1893">
        <f t="shared" si="29"/>
        <v>0.39508196721311473</v>
      </c>
    </row>
    <row r="1894" spans="1:17" x14ac:dyDescent="0.3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  <c r="L1894" t="str">
        <f>VLOOKUP(D1894, Products!A:C, 3, FALSE)</f>
        <v>Sports</v>
      </c>
      <c r="M1894" t="str">
        <f>IFERROR(VLOOKUP(C1894, Customers!A:E, 5, FALSE), "Unknown")</f>
        <v>Retail</v>
      </c>
      <c r="N1894" t="str">
        <f>VLOOKUP(E1894, Sales_Reps!A:C, 3, FALSE)</f>
        <v>South</v>
      </c>
      <c r="O1894">
        <f>VLOOKUP(D1894, Products!A:D, 4, FALSE)</f>
        <v>2467</v>
      </c>
      <c r="P1894">
        <f>IFERROR(VLOOKUP(C1894, Customers!A:C, 3, FALSE), 0)</f>
        <v>42</v>
      </c>
      <c r="Q1894">
        <f t="shared" si="29"/>
        <v>0.28492753623188405</v>
      </c>
    </row>
    <row r="1895" spans="1:17" x14ac:dyDescent="0.3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  <c r="L1895" t="str">
        <f>VLOOKUP(D1895, Products!A:C, 3, FALSE)</f>
        <v>Apparel</v>
      </c>
      <c r="M1895" t="str">
        <f>IFERROR(VLOOKUP(C1895, Customers!A:E, 5, FALSE), "Unknown")</f>
        <v>SMB</v>
      </c>
      <c r="N1895" t="str">
        <f>VLOOKUP(E1895, Sales_Reps!A:C, 3, FALSE)</f>
        <v>North</v>
      </c>
      <c r="O1895">
        <f>VLOOKUP(D1895, Products!A:D, 4, FALSE)</f>
        <v>1748</v>
      </c>
      <c r="P1895">
        <f>IFERROR(VLOOKUP(C1895, Customers!A:C, 3, FALSE), 0)</f>
        <v>65</v>
      </c>
      <c r="Q1895">
        <f t="shared" si="29"/>
        <v>0.49333333333333335</v>
      </c>
    </row>
    <row r="1896" spans="1:17" x14ac:dyDescent="0.3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  <c r="L1896" t="str">
        <f>VLOOKUP(D1896, Products!A:C, 3, FALSE)</f>
        <v>Grocery</v>
      </c>
      <c r="M1896" t="str">
        <f>IFERROR(VLOOKUP(C1896, Customers!A:E, 5, FALSE), "Unknown")</f>
        <v>Corporate</v>
      </c>
      <c r="N1896" t="str">
        <f>VLOOKUP(E1896, Sales_Reps!A:C, 3, FALSE)</f>
        <v>North</v>
      </c>
      <c r="O1896">
        <f>VLOOKUP(D1896, Products!A:D, 4, FALSE)</f>
        <v>2027</v>
      </c>
      <c r="P1896">
        <f>IFERROR(VLOOKUP(C1896, Customers!A:C, 3, FALSE), 0)</f>
        <v>46</v>
      </c>
      <c r="Q1896">
        <f t="shared" si="29"/>
        <v>0.50196560196560192</v>
      </c>
    </row>
    <row r="1897" spans="1:17" x14ac:dyDescent="0.3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  <c r="L1897" t="str">
        <f>VLOOKUP(D1897, Products!A:C, 3, FALSE)</f>
        <v>Sports</v>
      </c>
      <c r="M1897" t="str">
        <f>IFERROR(VLOOKUP(C1897, Customers!A:E, 5, FALSE), "Unknown")</f>
        <v>SMB</v>
      </c>
      <c r="N1897" t="str">
        <f>VLOOKUP(E1897, Sales_Reps!A:C, 3, FALSE)</f>
        <v>East</v>
      </c>
      <c r="O1897">
        <f>VLOOKUP(D1897, Products!A:D, 4, FALSE)</f>
        <v>1860</v>
      </c>
      <c r="P1897">
        <f>IFERROR(VLOOKUP(C1897, Customers!A:C, 3, FALSE), 0)</f>
        <v>62</v>
      </c>
      <c r="Q1897">
        <f t="shared" si="29"/>
        <v>0.50793650793650791</v>
      </c>
    </row>
    <row r="1898" spans="1:17" x14ac:dyDescent="0.3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  <c r="L1898" t="str">
        <f>VLOOKUP(D1898, Products!A:C, 3, FALSE)</f>
        <v>Grocery</v>
      </c>
      <c r="M1898" t="str">
        <f>IFERROR(VLOOKUP(C1898, Customers!A:E, 5, FALSE), "Unknown")</f>
        <v>Retail</v>
      </c>
      <c r="N1898" t="str">
        <f>VLOOKUP(E1898, Sales_Reps!A:C, 3, FALSE)</f>
        <v>North</v>
      </c>
      <c r="O1898">
        <f>VLOOKUP(D1898, Products!A:D, 4, FALSE)</f>
        <v>1435</v>
      </c>
      <c r="P1898">
        <f>IFERROR(VLOOKUP(C1898, Customers!A:C, 3, FALSE), 0)</f>
        <v>35</v>
      </c>
      <c r="Q1898">
        <f t="shared" si="29"/>
        <v>0.48007246376811596</v>
      </c>
    </row>
    <row r="1899" spans="1:17" x14ac:dyDescent="0.3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  <c r="L1899" t="str">
        <f>VLOOKUP(D1899, Products!A:C, 3, FALSE)</f>
        <v>Beauty</v>
      </c>
      <c r="M1899" t="str">
        <f>IFERROR(VLOOKUP(C1899, Customers!A:E, 5, FALSE), "Unknown")</f>
        <v>Corporate</v>
      </c>
      <c r="N1899" t="str">
        <f>VLOOKUP(E1899, Sales_Reps!A:C, 3, FALSE)</f>
        <v>West</v>
      </c>
      <c r="O1899">
        <f>VLOOKUP(D1899, Products!A:D, 4, FALSE)</f>
        <v>2768</v>
      </c>
      <c r="P1899">
        <f>IFERROR(VLOOKUP(C1899, Customers!A:C, 3, FALSE), 0)</f>
        <v>32</v>
      </c>
      <c r="Q1899">
        <f t="shared" si="29"/>
        <v>0.43278688524590164</v>
      </c>
    </row>
    <row r="1900" spans="1:17" x14ac:dyDescent="0.3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  <c r="L1900" t="str">
        <f>VLOOKUP(D1900, Products!A:C, 3, FALSE)</f>
        <v>Grocery</v>
      </c>
      <c r="M1900" t="str">
        <f>IFERROR(VLOOKUP(C1900, Customers!A:E, 5, FALSE), "Unknown")</f>
        <v>Retail</v>
      </c>
      <c r="N1900" t="str">
        <f>VLOOKUP(E1900, Sales_Reps!A:C, 3, FALSE)</f>
        <v>East</v>
      </c>
      <c r="O1900">
        <f>VLOOKUP(D1900, Products!A:D, 4, FALSE)</f>
        <v>1182</v>
      </c>
      <c r="P1900">
        <f>IFERROR(VLOOKUP(C1900, Customers!A:C, 3, FALSE), 0)</f>
        <v>52</v>
      </c>
      <c r="Q1900">
        <f t="shared" si="29"/>
        <v>0.50336134453781511</v>
      </c>
    </row>
    <row r="1901" spans="1:17" x14ac:dyDescent="0.3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  <c r="L1901" t="str">
        <f>VLOOKUP(D1901, Products!A:C, 3, FALSE)</f>
        <v>Beauty</v>
      </c>
      <c r="M1901" t="str">
        <f>IFERROR(VLOOKUP(C1901, Customers!A:E, 5, FALSE), "Unknown")</f>
        <v>Corporate</v>
      </c>
      <c r="N1901" t="str">
        <f>VLOOKUP(E1901, Sales_Reps!A:C, 3, FALSE)</f>
        <v>North</v>
      </c>
      <c r="O1901">
        <f>VLOOKUP(D1901, Products!A:D, 4, FALSE)</f>
        <v>1219</v>
      </c>
      <c r="P1901">
        <f>IFERROR(VLOOKUP(C1901, Customers!A:C, 3, FALSE), 0)</f>
        <v>31</v>
      </c>
      <c r="Q1901">
        <f t="shared" si="29"/>
        <v>0.46768558951965067</v>
      </c>
    </row>
    <row r="1902" spans="1:17" x14ac:dyDescent="0.3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  <c r="L1902" t="str">
        <f>VLOOKUP(D1902, Products!A:C, 3, FALSE)</f>
        <v>Grocery</v>
      </c>
      <c r="M1902" t="str">
        <f>IFERROR(VLOOKUP(C1902, Customers!A:E, 5, FALSE), "Unknown")</f>
        <v>Corporate</v>
      </c>
      <c r="N1902" t="str">
        <f>VLOOKUP(E1902, Sales_Reps!A:C, 3, FALSE)</f>
        <v>North</v>
      </c>
      <c r="O1902">
        <f>VLOOKUP(D1902, Products!A:D, 4, FALSE)</f>
        <v>1435</v>
      </c>
      <c r="P1902">
        <f>IFERROR(VLOOKUP(C1902, Customers!A:C, 3, FALSE), 0)</f>
        <v>32</v>
      </c>
      <c r="Q1902">
        <f t="shared" si="29"/>
        <v>0.48007246376811596</v>
      </c>
    </row>
    <row r="1903" spans="1:17" x14ac:dyDescent="0.3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  <c r="L1903" t="str">
        <f>VLOOKUP(D1903, Products!A:C, 3, FALSE)</f>
        <v>Grocery</v>
      </c>
      <c r="M1903" t="str">
        <f>IFERROR(VLOOKUP(C1903, Customers!A:E, 5, FALSE), "Unknown")</f>
        <v>Retail</v>
      </c>
      <c r="N1903" t="str">
        <f>VLOOKUP(E1903, Sales_Reps!A:C, 3, FALSE)</f>
        <v>West</v>
      </c>
      <c r="O1903">
        <f>VLOOKUP(D1903, Products!A:D, 4, FALSE)</f>
        <v>2911</v>
      </c>
      <c r="P1903">
        <f>IFERROR(VLOOKUP(C1903, Customers!A:C, 3, FALSE), 0)</f>
        <v>49</v>
      </c>
      <c r="Q1903">
        <f t="shared" si="29"/>
        <v>0.28300492610837441</v>
      </c>
    </row>
    <row r="1904" spans="1:17" x14ac:dyDescent="0.3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  <c r="L1904" t="str">
        <f>VLOOKUP(D1904, Products!A:C, 3, FALSE)</f>
        <v>Electronics</v>
      </c>
      <c r="M1904" t="str">
        <f>IFERROR(VLOOKUP(C1904, Customers!A:E, 5, FALSE), "Unknown")</f>
        <v>Retail</v>
      </c>
      <c r="N1904" t="str">
        <f>VLOOKUP(E1904, Sales_Reps!A:C, 3, FALSE)</f>
        <v>North</v>
      </c>
      <c r="O1904">
        <f>VLOOKUP(D1904, Products!A:D, 4, FALSE)</f>
        <v>1149</v>
      </c>
      <c r="P1904">
        <f>IFERROR(VLOOKUP(C1904, Customers!A:C, 3, FALSE), 0)</f>
        <v>28</v>
      </c>
      <c r="Q1904">
        <f t="shared" si="29"/>
        <v>0.56477272727272732</v>
      </c>
    </row>
    <row r="1905" spans="1:17" x14ac:dyDescent="0.3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  <c r="L1905" t="str">
        <f>VLOOKUP(D1905, Products!A:C, 3, FALSE)</f>
        <v>Home</v>
      </c>
      <c r="M1905" t="str">
        <f>IFERROR(VLOOKUP(C1905, Customers!A:E, 5, FALSE), "Unknown")</f>
        <v>Retail</v>
      </c>
      <c r="N1905" t="str">
        <f>VLOOKUP(E1905, Sales_Reps!A:C, 3, FALSE)</f>
        <v>North</v>
      </c>
      <c r="O1905">
        <f>VLOOKUP(D1905, Products!A:D, 4, FALSE)</f>
        <v>1850</v>
      </c>
      <c r="P1905">
        <f>IFERROR(VLOOKUP(C1905, Customers!A:C, 3, FALSE), 0)</f>
        <v>36</v>
      </c>
      <c r="Q1905">
        <f t="shared" si="29"/>
        <v>0.59869848156182215</v>
      </c>
    </row>
    <row r="1906" spans="1:17" x14ac:dyDescent="0.3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  <c r="L1906" t="str">
        <f>VLOOKUP(D1906, Products!A:C, 3, FALSE)</f>
        <v>Grocery</v>
      </c>
      <c r="M1906" t="str">
        <f>IFERROR(VLOOKUP(C1906, Customers!A:E, 5, FALSE), "Unknown")</f>
        <v>Corporate</v>
      </c>
      <c r="N1906" t="str">
        <f>VLOOKUP(E1906, Sales_Reps!A:C, 3, FALSE)</f>
        <v>West</v>
      </c>
      <c r="O1906">
        <f>VLOOKUP(D1906, Products!A:D, 4, FALSE)</f>
        <v>1010</v>
      </c>
      <c r="P1906">
        <f>IFERROR(VLOOKUP(C1906, Customers!A:C, 3, FALSE), 0)</f>
        <v>29</v>
      </c>
      <c r="Q1906">
        <f t="shared" si="29"/>
        <v>0.54298642533936647</v>
      </c>
    </row>
    <row r="1907" spans="1:17" x14ac:dyDescent="0.3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  <c r="L1907" t="str">
        <f>VLOOKUP(D1907, Products!A:C, 3, FALSE)</f>
        <v>Grocery</v>
      </c>
      <c r="M1907" t="str">
        <f>IFERROR(VLOOKUP(C1907, Customers!A:E, 5, FALSE), "Unknown")</f>
        <v>SMB</v>
      </c>
      <c r="N1907" t="str">
        <f>VLOOKUP(E1907, Sales_Reps!A:C, 3, FALSE)</f>
        <v>South</v>
      </c>
      <c r="O1907">
        <f>VLOOKUP(D1907, Products!A:D, 4, FALSE)</f>
        <v>1010</v>
      </c>
      <c r="P1907">
        <f>IFERROR(VLOOKUP(C1907, Customers!A:C, 3, FALSE), 0)</f>
        <v>29</v>
      </c>
      <c r="Q1907">
        <f t="shared" si="29"/>
        <v>0.54298642533936647</v>
      </c>
    </row>
    <row r="1908" spans="1:17" x14ac:dyDescent="0.3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  <c r="L1908" t="str">
        <f>VLOOKUP(D1908, Products!A:C, 3, FALSE)</f>
        <v>Home</v>
      </c>
      <c r="M1908" t="str">
        <f>IFERROR(VLOOKUP(C1908, Customers!A:E, 5, FALSE), "Unknown")</f>
        <v>SMB</v>
      </c>
      <c r="N1908" t="str">
        <f>VLOOKUP(E1908, Sales_Reps!A:C, 3, FALSE)</f>
        <v>South</v>
      </c>
      <c r="O1908">
        <f>VLOOKUP(D1908, Products!A:D, 4, FALSE)</f>
        <v>464</v>
      </c>
      <c r="P1908">
        <f>IFERROR(VLOOKUP(C1908, Customers!A:C, 3, FALSE), 0)</f>
        <v>44</v>
      </c>
      <c r="Q1908">
        <f t="shared" si="29"/>
        <v>0.57431192660550456</v>
      </c>
    </row>
    <row r="1909" spans="1:17" x14ac:dyDescent="0.3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  <c r="L1909" t="str">
        <f>VLOOKUP(D1909, Products!A:C, 3, FALSE)</f>
        <v>Home</v>
      </c>
      <c r="M1909" t="str">
        <f>IFERROR(VLOOKUP(C1909, Customers!A:E, 5, FALSE), "Unknown")</f>
        <v>Retail</v>
      </c>
      <c r="N1909" t="str">
        <f>VLOOKUP(E1909, Sales_Reps!A:C, 3, FALSE)</f>
        <v>North</v>
      </c>
      <c r="O1909">
        <f>VLOOKUP(D1909, Products!A:D, 4, FALSE)</f>
        <v>288</v>
      </c>
      <c r="P1909">
        <f>IFERROR(VLOOKUP(C1909, Customers!A:C, 3, FALSE), 0)</f>
        <v>44</v>
      </c>
      <c r="Q1909">
        <f t="shared" si="29"/>
        <v>0.22162162162162163</v>
      </c>
    </row>
    <row r="1910" spans="1:17" x14ac:dyDescent="0.3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  <c r="L1910" t="str">
        <f>VLOOKUP(D1910, Products!A:C, 3, FALSE)</f>
        <v>Electronics</v>
      </c>
      <c r="M1910" t="str">
        <f>IFERROR(VLOOKUP(C1910, Customers!A:E, 5, FALSE), "Unknown")</f>
        <v>Retail</v>
      </c>
      <c r="N1910" t="str">
        <f>VLOOKUP(E1910, Sales_Reps!A:C, 3, FALSE)</f>
        <v>West</v>
      </c>
      <c r="O1910">
        <f>VLOOKUP(D1910, Products!A:D, 4, FALSE)</f>
        <v>1665</v>
      </c>
      <c r="P1910">
        <f>IFERROR(VLOOKUP(C1910, Customers!A:C, 3, FALSE), 0)</f>
        <v>57</v>
      </c>
      <c r="Q1910">
        <f t="shared" si="29"/>
        <v>0.53361344537815125</v>
      </c>
    </row>
    <row r="1911" spans="1:17" x14ac:dyDescent="0.3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  <c r="L1911" t="str">
        <f>VLOOKUP(D1911, Products!A:C, 3, FALSE)</f>
        <v>Home</v>
      </c>
      <c r="M1911" t="str">
        <f>IFERROR(VLOOKUP(C1911, Customers!A:E, 5, FALSE), "Unknown")</f>
        <v>Retail</v>
      </c>
      <c r="N1911" t="str">
        <f>VLOOKUP(E1911, Sales_Reps!A:C, 3, FALSE)</f>
        <v>South</v>
      </c>
      <c r="O1911">
        <f>VLOOKUP(D1911, Products!A:D, 4, FALSE)</f>
        <v>1556</v>
      </c>
      <c r="P1911">
        <f>IFERROR(VLOOKUP(C1911, Customers!A:C, 3, FALSE), 0)</f>
        <v>42</v>
      </c>
      <c r="Q1911">
        <f t="shared" si="29"/>
        <v>0.52123076923076928</v>
      </c>
    </row>
    <row r="1912" spans="1:17" x14ac:dyDescent="0.3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  <c r="L1912" t="str">
        <f>VLOOKUP(D1912, Products!A:C, 3, FALSE)</f>
        <v>Home</v>
      </c>
      <c r="M1912" t="str">
        <f>IFERROR(VLOOKUP(C1912, Customers!A:E, 5, FALSE), "Unknown")</f>
        <v>Corporate</v>
      </c>
      <c r="N1912" t="str">
        <f>VLOOKUP(E1912, Sales_Reps!A:C, 3, FALSE)</f>
        <v>West</v>
      </c>
      <c r="O1912">
        <f>VLOOKUP(D1912, Products!A:D, 4, FALSE)</f>
        <v>1556</v>
      </c>
      <c r="P1912">
        <f>IFERROR(VLOOKUP(C1912, Customers!A:C, 3, FALSE), 0)</f>
        <v>62</v>
      </c>
      <c r="Q1912">
        <f t="shared" si="29"/>
        <v>0.52123076923076928</v>
      </c>
    </row>
    <row r="1913" spans="1:17" x14ac:dyDescent="0.3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  <c r="L1913" t="str">
        <f>VLOOKUP(D1913, Products!A:C, 3, FALSE)</f>
        <v>Sports</v>
      </c>
      <c r="M1913" t="str">
        <f>IFERROR(VLOOKUP(C1913, Customers!A:E, 5, FALSE), "Unknown")</f>
        <v>Retail</v>
      </c>
      <c r="N1913" t="str">
        <f>VLOOKUP(E1913, Sales_Reps!A:C, 3, FALSE)</f>
        <v>West</v>
      </c>
      <c r="O1913">
        <f>VLOOKUP(D1913, Products!A:D, 4, FALSE)</f>
        <v>705</v>
      </c>
      <c r="P1913">
        <f>IFERROR(VLOOKUP(C1913, Customers!A:C, 3, FALSE), 0)</f>
        <v>49</v>
      </c>
      <c r="Q1913">
        <f t="shared" si="29"/>
        <v>0.265625</v>
      </c>
    </row>
    <row r="1914" spans="1:17" x14ac:dyDescent="0.3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  <c r="L1914" t="str">
        <f>VLOOKUP(D1914, Products!A:C, 3, FALSE)</f>
        <v>Beauty</v>
      </c>
      <c r="M1914" t="str">
        <f>IFERROR(VLOOKUP(C1914, Customers!A:E, 5, FALSE), "Unknown")</f>
        <v>SMB</v>
      </c>
      <c r="N1914" t="str">
        <f>VLOOKUP(E1914, Sales_Reps!A:C, 3, FALSE)</f>
        <v>South</v>
      </c>
      <c r="O1914">
        <f>VLOOKUP(D1914, Products!A:D, 4, FALSE)</f>
        <v>2617</v>
      </c>
      <c r="P1914">
        <f>IFERROR(VLOOKUP(C1914, Customers!A:C, 3, FALSE), 0)</f>
        <v>38</v>
      </c>
      <c r="Q1914">
        <f t="shared" si="29"/>
        <v>0.56957236842105263</v>
      </c>
    </row>
    <row r="1915" spans="1:17" x14ac:dyDescent="0.3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  <c r="L1915" t="str">
        <f>VLOOKUP(D1915, Products!A:C, 3, FALSE)</f>
        <v>Home</v>
      </c>
      <c r="M1915" t="str">
        <f>IFERROR(VLOOKUP(C1915, Customers!A:E, 5, FALSE), "Unknown")</f>
        <v>Retail</v>
      </c>
      <c r="N1915" t="str">
        <f>VLOOKUP(E1915, Sales_Reps!A:C, 3, FALSE)</f>
        <v>East</v>
      </c>
      <c r="O1915">
        <f>VLOOKUP(D1915, Products!A:D, 4, FALSE)</f>
        <v>1850</v>
      </c>
      <c r="P1915">
        <f>IFERROR(VLOOKUP(C1915, Customers!A:C, 3, FALSE), 0)</f>
        <v>34</v>
      </c>
      <c r="Q1915">
        <f t="shared" si="29"/>
        <v>0.59869848156182215</v>
      </c>
    </row>
    <row r="1916" spans="1:17" x14ac:dyDescent="0.3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  <c r="L1916" t="str">
        <f>VLOOKUP(D1916, Products!A:C, 3, FALSE)</f>
        <v>Home</v>
      </c>
      <c r="M1916" t="str">
        <f>IFERROR(VLOOKUP(C1916, Customers!A:E, 5, FALSE), "Unknown")</f>
        <v>Corporate</v>
      </c>
      <c r="N1916" t="str">
        <f>VLOOKUP(E1916, Sales_Reps!A:C, 3, FALSE)</f>
        <v>East</v>
      </c>
      <c r="O1916">
        <f>VLOOKUP(D1916, Products!A:D, 4, FALSE)</f>
        <v>2459</v>
      </c>
      <c r="P1916">
        <f>IFERROR(VLOOKUP(C1916, Customers!A:C, 3, FALSE), 0)</f>
        <v>34</v>
      </c>
      <c r="Q1916">
        <f t="shared" si="29"/>
        <v>0.51594488188976373</v>
      </c>
    </row>
    <row r="1917" spans="1:17" x14ac:dyDescent="0.3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  <c r="L1917" t="str">
        <f>VLOOKUP(D1917, Products!A:C, 3, FALSE)</f>
        <v>Beauty</v>
      </c>
      <c r="M1917" t="str">
        <f>IFERROR(VLOOKUP(C1917, Customers!A:E, 5, FALSE), "Unknown")</f>
        <v>Retail</v>
      </c>
      <c r="N1917" t="str">
        <f>VLOOKUP(E1917, Sales_Reps!A:C, 3, FALSE)</f>
        <v>East</v>
      </c>
      <c r="O1917">
        <f>VLOOKUP(D1917, Products!A:D, 4, FALSE)</f>
        <v>1728</v>
      </c>
      <c r="P1917">
        <f>IFERROR(VLOOKUP(C1917, Customers!A:C, 3, FALSE), 0)</f>
        <v>65</v>
      </c>
      <c r="Q1917">
        <f t="shared" si="29"/>
        <v>0.48417910447761192</v>
      </c>
    </row>
    <row r="1918" spans="1:17" x14ac:dyDescent="0.3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  <c r="L1918" t="str">
        <f>VLOOKUP(D1918, Products!A:C, 3, FALSE)</f>
        <v>Grocery</v>
      </c>
      <c r="M1918" t="str">
        <f>IFERROR(VLOOKUP(C1918, Customers!A:E, 5, FALSE), "Unknown")</f>
        <v>Retail</v>
      </c>
      <c r="N1918" t="str">
        <f>VLOOKUP(E1918, Sales_Reps!A:C, 3, FALSE)</f>
        <v>South</v>
      </c>
      <c r="O1918">
        <f>VLOOKUP(D1918, Products!A:D, 4, FALSE)</f>
        <v>2436</v>
      </c>
      <c r="P1918">
        <f>IFERROR(VLOOKUP(C1918, Customers!A:C, 3, FALSE), 0)</f>
        <v>55</v>
      </c>
      <c r="Q1918">
        <f t="shared" si="29"/>
        <v>0.35555555555555557</v>
      </c>
    </row>
    <row r="1919" spans="1:17" x14ac:dyDescent="0.3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  <c r="L1919" t="str">
        <f>VLOOKUP(D1919, Products!A:C, 3, FALSE)</f>
        <v>Beauty</v>
      </c>
      <c r="M1919" t="str">
        <f>IFERROR(VLOOKUP(C1919, Customers!A:E, 5, FALSE), "Unknown")</f>
        <v>Corporate</v>
      </c>
      <c r="N1919" t="str">
        <f>VLOOKUP(E1919, Sales_Reps!A:C, 3, FALSE)</f>
        <v>East</v>
      </c>
      <c r="O1919">
        <f>VLOOKUP(D1919, Products!A:D, 4, FALSE)</f>
        <v>2768</v>
      </c>
      <c r="P1919">
        <f>IFERROR(VLOOKUP(C1919, Customers!A:C, 3, FALSE), 0)</f>
        <v>55</v>
      </c>
      <c r="Q1919">
        <f t="shared" si="29"/>
        <v>0.43278688524590164</v>
      </c>
    </row>
    <row r="1920" spans="1:17" x14ac:dyDescent="0.3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  <c r="L1920" t="str">
        <f>VLOOKUP(D1920, Products!A:C, 3, FALSE)</f>
        <v>Beauty</v>
      </c>
      <c r="M1920" t="str">
        <f>IFERROR(VLOOKUP(C1920, Customers!A:E, 5, FALSE), "Unknown")</f>
        <v>Corporate</v>
      </c>
      <c r="N1920" t="str">
        <f>VLOOKUP(E1920, Sales_Reps!A:C, 3, FALSE)</f>
        <v>West</v>
      </c>
      <c r="O1920">
        <f>VLOOKUP(D1920, Products!A:D, 4, FALSE)</f>
        <v>2237</v>
      </c>
      <c r="P1920">
        <f>IFERROR(VLOOKUP(C1920, Customers!A:C, 3, FALSE), 0)</f>
        <v>41</v>
      </c>
      <c r="Q1920">
        <f t="shared" si="29"/>
        <v>0.56137254901960787</v>
      </c>
    </row>
    <row r="1921" spans="1:17" x14ac:dyDescent="0.3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  <c r="L1921" t="str">
        <f>VLOOKUP(D1921, Products!A:C, 3, FALSE)</f>
        <v>Electronics</v>
      </c>
      <c r="M1921" t="str">
        <f>IFERROR(VLOOKUP(C1921, Customers!A:E, 5, FALSE), "Unknown")</f>
        <v>Retail</v>
      </c>
      <c r="N1921" t="str">
        <f>VLOOKUP(E1921, Sales_Reps!A:C, 3, FALSE)</f>
        <v>East</v>
      </c>
      <c r="O1921">
        <f>VLOOKUP(D1921, Products!A:D, 4, FALSE)</f>
        <v>1259</v>
      </c>
      <c r="P1921">
        <f>IFERROR(VLOOKUP(C1921, Customers!A:C, 3, FALSE), 0)</f>
        <v>27</v>
      </c>
      <c r="Q1921">
        <f t="shared" si="29"/>
        <v>0.52669172932330832</v>
      </c>
    </row>
    <row r="1922" spans="1:17" x14ac:dyDescent="0.3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  <c r="L1922" t="str">
        <f>VLOOKUP(D1922, Products!A:C, 3, FALSE)</f>
        <v>Grocery</v>
      </c>
      <c r="M1922" t="str">
        <f>IFERROR(VLOOKUP(C1922, Customers!A:E, 5, FALSE), "Unknown")</f>
        <v>SMB</v>
      </c>
      <c r="N1922" t="str">
        <f>VLOOKUP(E1922, Sales_Reps!A:C, 3, FALSE)</f>
        <v>East</v>
      </c>
      <c r="O1922">
        <f>VLOOKUP(D1922, Products!A:D, 4, FALSE)</f>
        <v>1182</v>
      </c>
      <c r="P1922">
        <f>IFERROR(VLOOKUP(C1922, Customers!A:C, 3, FALSE), 0)</f>
        <v>28</v>
      </c>
      <c r="Q1922">
        <f t="shared" si="29"/>
        <v>0.50336134453781511</v>
      </c>
    </row>
    <row r="1923" spans="1:17" x14ac:dyDescent="0.3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  <c r="L1923" t="str">
        <f>VLOOKUP(D1923, Products!A:C, 3, FALSE)</f>
        <v>Beauty</v>
      </c>
      <c r="M1923" t="str">
        <f>IFERROR(VLOOKUP(C1923, Customers!A:E, 5, FALSE), "Unknown")</f>
        <v>Retail</v>
      </c>
      <c r="N1923" t="str">
        <f>VLOOKUP(E1923, Sales_Reps!A:C, 3, FALSE)</f>
        <v>North</v>
      </c>
      <c r="O1923">
        <f>VLOOKUP(D1923, Products!A:D, 4, FALSE)</f>
        <v>2768</v>
      </c>
      <c r="P1923">
        <f>IFERROR(VLOOKUP(C1923, Customers!A:C, 3, FALSE), 0)</f>
        <v>36</v>
      </c>
      <c r="Q1923">
        <f t="shared" ref="Q1923:Q1986" si="30">(G1923 - O1923) / G1923</f>
        <v>0.43278688524590164</v>
      </c>
    </row>
    <row r="1924" spans="1:17" x14ac:dyDescent="0.3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  <c r="L1924" t="str">
        <f>VLOOKUP(D1924, Products!A:C, 3, FALSE)</f>
        <v>Home</v>
      </c>
      <c r="M1924" t="str">
        <f>IFERROR(VLOOKUP(C1924, Customers!A:E, 5, FALSE), "Unknown")</f>
        <v>SMB</v>
      </c>
      <c r="N1924" t="str">
        <f>VLOOKUP(E1924, Sales_Reps!A:C, 3, FALSE)</f>
        <v>South</v>
      </c>
      <c r="O1924">
        <f>VLOOKUP(D1924, Products!A:D, 4, FALSE)</f>
        <v>2135</v>
      </c>
      <c r="P1924">
        <f>IFERROR(VLOOKUP(C1924, Customers!A:C, 3, FALSE), 0)</f>
        <v>25</v>
      </c>
      <c r="Q1924">
        <f t="shared" si="30"/>
        <v>0.42761394101876676</v>
      </c>
    </row>
    <row r="1925" spans="1:17" x14ac:dyDescent="0.3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  <c r="L1925" t="str">
        <f>VLOOKUP(D1925, Products!A:C, 3, FALSE)</f>
        <v>Sports</v>
      </c>
      <c r="M1925" t="str">
        <f>IFERROR(VLOOKUP(C1925, Customers!A:E, 5, FALSE), "Unknown")</f>
        <v>Retail</v>
      </c>
      <c r="N1925" t="str">
        <f>VLOOKUP(E1925, Sales_Reps!A:C, 3, FALSE)</f>
        <v>North</v>
      </c>
      <c r="O1925">
        <f>VLOOKUP(D1925, Products!A:D, 4, FALSE)</f>
        <v>1860</v>
      </c>
      <c r="P1925">
        <f>IFERROR(VLOOKUP(C1925, Customers!A:C, 3, FALSE), 0)</f>
        <v>27</v>
      </c>
      <c r="Q1925">
        <f t="shared" si="30"/>
        <v>0.50793650793650791</v>
      </c>
    </row>
    <row r="1926" spans="1:17" x14ac:dyDescent="0.3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  <c r="L1926" t="str">
        <f>VLOOKUP(D1926, Products!A:C, 3, FALSE)</f>
        <v>Apparel</v>
      </c>
      <c r="M1926" t="str">
        <f>IFERROR(VLOOKUP(C1926, Customers!A:E, 5, FALSE), "Unknown")</f>
        <v>SMB</v>
      </c>
      <c r="N1926" t="str">
        <f>VLOOKUP(E1926, Sales_Reps!A:C, 3, FALSE)</f>
        <v>East</v>
      </c>
      <c r="O1926">
        <f>VLOOKUP(D1926, Products!A:D, 4, FALSE)</f>
        <v>2509</v>
      </c>
      <c r="P1926">
        <f>IFERROR(VLOOKUP(C1926, Customers!A:C, 3, FALSE), 0)</f>
        <v>51</v>
      </c>
      <c r="Q1926">
        <f t="shared" si="30"/>
        <v>0.3069060773480663</v>
      </c>
    </row>
    <row r="1927" spans="1:17" x14ac:dyDescent="0.3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  <c r="L1927" t="str">
        <f>VLOOKUP(D1927, Products!A:C, 3, FALSE)</f>
        <v>Home</v>
      </c>
      <c r="M1927" t="str">
        <f>IFERROR(VLOOKUP(C1927, Customers!A:E, 5, FALSE), "Unknown")</f>
        <v>Retail</v>
      </c>
      <c r="N1927" t="str">
        <f>VLOOKUP(E1927, Sales_Reps!A:C, 3, FALSE)</f>
        <v>East</v>
      </c>
      <c r="O1927">
        <f>VLOOKUP(D1927, Products!A:D, 4, FALSE)</f>
        <v>2459</v>
      </c>
      <c r="P1927">
        <f>IFERROR(VLOOKUP(C1927, Customers!A:C, 3, FALSE), 0)</f>
        <v>33</v>
      </c>
      <c r="Q1927">
        <f t="shared" si="30"/>
        <v>0.51594488188976373</v>
      </c>
    </row>
    <row r="1928" spans="1:17" x14ac:dyDescent="0.3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  <c r="L1928" t="str">
        <f>VLOOKUP(D1928, Products!A:C, 3, FALSE)</f>
        <v>Apparel</v>
      </c>
      <c r="M1928" t="str">
        <f>IFERROR(VLOOKUP(C1928, Customers!A:E, 5, FALSE), "Unknown")</f>
        <v>SMB</v>
      </c>
      <c r="N1928" t="str">
        <f>VLOOKUP(E1928, Sales_Reps!A:C, 3, FALSE)</f>
        <v>West</v>
      </c>
      <c r="O1928">
        <f>VLOOKUP(D1928, Products!A:D, 4, FALSE)</f>
        <v>2629</v>
      </c>
      <c r="P1928">
        <f>IFERROR(VLOOKUP(C1928, Customers!A:C, 3, FALSE), 0)</f>
        <v>28</v>
      </c>
      <c r="Q1928">
        <f t="shared" si="30"/>
        <v>0.26151685393258428</v>
      </c>
    </row>
    <row r="1929" spans="1:17" x14ac:dyDescent="0.3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  <c r="L1929" t="str">
        <f>VLOOKUP(D1929, Products!A:C, 3, FALSE)</f>
        <v>Grocery</v>
      </c>
      <c r="M1929" t="str">
        <f>IFERROR(VLOOKUP(C1929, Customers!A:E, 5, FALSE), "Unknown")</f>
        <v>Retail</v>
      </c>
      <c r="N1929" t="str">
        <f>VLOOKUP(E1929, Sales_Reps!A:C, 3, FALSE)</f>
        <v>North</v>
      </c>
      <c r="O1929">
        <f>VLOOKUP(D1929, Products!A:D, 4, FALSE)</f>
        <v>434</v>
      </c>
      <c r="P1929">
        <f>IFERROR(VLOOKUP(C1929, Customers!A:C, 3, FALSE), 0)</f>
        <v>37</v>
      </c>
      <c r="Q1929">
        <f t="shared" si="30"/>
        <v>0.5525773195876289</v>
      </c>
    </row>
    <row r="1930" spans="1:17" x14ac:dyDescent="0.3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  <c r="L1930" t="str">
        <f>VLOOKUP(D1930, Products!A:C, 3, FALSE)</f>
        <v>Beauty</v>
      </c>
      <c r="M1930" t="str">
        <f>IFERROR(VLOOKUP(C1930, Customers!A:E, 5, FALSE), "Unknown")</f>
        <v>Retail</v>
      </c>
      <c r="N1930" t="str">
        <f>VLOOKUP(E1930, Sales_Reps!A:C, 3, FALSE)</f>
        <v>South</v>
      </c>
      <c r="O1930">
        <f>VLOOKUP(D1930, Products!A:D, 4, FALSE)</f>
        <v>1728</v>
      </c>
      <c r="P1930">
        <f>IFERROR(VLOOKUP(C1930, Customers!A:C, 3, FALSE), 0)</f>
        <v>49</v>
      </c>
      <c r="Q1930">
        <f t="shared" si="30"/>
        <v>0.48417910447761192</v>
      </c>
    </row>
    <row r="1931" spans="1:17" x14ac:dyDescent="0.3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  <c r="L1931" t="str">
        <f>VLOOKUP(D1931, Products!A:C, 3, FALSE)</f>
        <v>Home</v>
      </c>
      <c r="M1931" t="str">
        <f>IFERROR(VLOOKUP(C1931, Customers!A:E, 5, FALSE), "Unknown")</f>
        <v>Unknown</v>
      </c>
      <c r="N1931" t="str">
        <f>VLOOKUP(E1931, Sales_Reps!A:C, 3, FALSE)</f>
        <v>South</v>
      </c>
      <c r="O1931">
        <f>VLOOKUP(D1931, Products!A:D, 4, FALSE)</f>
        <v>288</v>
      </c>
      <c r="P1931">
        <f>IFERROR(VLOOKUP(C1931, Customers!A:C, 3, FALSE), 0)</f>
        <v>0</v>
      </c>
      <c r="Q1931">
        <f t="shared" si="30"/>
        <v>0.22162162162162163</v>
      </c>
    </row>
    <row r="1932" spans="1:17" x14ac:dyDescent="0.3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  <c r="L1932" t="str">
        <f>VLOOKUP(D1932, Products!A:C, 3, FALSE)</f>
        <v>Grocery</v>
      </c>
      <c r="M1932" t="str">
        <f>IFERROR(VLOOKUP(C1932, Customers!A:E, 5, FALSE), "Unknown")</f>
        <v>Corporate</v>
      </c>
      <c r="N1932" t="str">
        <f>VLOOKUP(E1932, Sales_Reps!A:C, 3, FALSE)</f>
        <v>South</v>
      </c>
      <c r="O1932">
        <f>VLOOKUP(D1932, Products!A:D, 4, FALSE)</f>
        <v>1203</v>
      </c>
      <c r="P1932">
        <f>IFERROR(VLOOKUP(C1932, Customers!A:C, 3, FALSE), 0)</f>
        <v>55</v>
      </c>
      <c r="Q1932">
        <f t="shared" si="30"/>
        <v>0.47004405286343615</v>
      </c>
    </row>
    <row r="1933" spans="1:17" x14ac:dyDescent="0.3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  <c r="L1933" t="str">
        <f>VLOOKUP(D1933, Products!A:C, 3, FALSE)</f>
        <v>Sports</v>
      </c>
      <c r="M1933" t="str">
        <f>IFERROR(VLOOKUP(C1933, Customers!A:E, 5, FALSE), "Unknown")</f>
        <v>Corporate</v>
      </c>
      <c r="N1933" t="str">
        <f>VLOOKUP(E1933, Sales_Reps!A:C, 3, FALSE)</f>
        <v>East</v>
      </c>
      <c r="O1933">
        <f>VLOOKUP(D1933, Products!A:D, 4, FALSE)</f>
        <v>2467</v>
      </c>
      <c r="P1933">
        <f>IFERROR(VLOOKUP(C1933, Customers!A:C, 3, FALSE), 0)</f>
        <v>41</v>
      </c>
      <c r="Q1933">
        <f t="shared" si="30"/>
        <v>0.28492753623188405</v>
      </c>
    </row>
    <row r="1934" spans="1:17" x14ac:dyDescent="0.3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  <c r="L1934" t="str">
        <f>VLOOKUP(D1934, Products!A:C, 3, FALSE)</f>
        <v>Sports</v>
      </c>
      <c r="M1934" t="str">
        <f>IFERROR(VLOOKUP(C1934, Customers!A:E, 5, FALSE), "Unknown")</f>
        <v>Retail</v>
      </c>
      <c r="N1934" t="str">
        <f>VLOOKUP(E1934, Sales_Reps!A:C, 3, FALSE)</f>
        <v>North</v>
      </c>
      <c r="O1934">
        <f>VLOOKUP(D1934, Products!A:D, 4, FALSE)</f>
        <v>516</v>
      </c>
      <c r="P1934">
        <f>IFERROR(VLOOKUP(C1934, Customers!A:C, 3, FALSE), 0)</f>
        <v>29</v>
      </c>
      <c r="Q1934">
        <f t="shared" si="30"/>
        <v>0.4891089108910891</v>
      </c>
    </row>
    <row r="1935" spans="1:17" x14ac:dyDescent="0.3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  <c r="L1935" t="str">
        <f>VLOOKUP(D1935, Products!A:C, 3, FALSE)</f>
        <v>Home</v>
      </c>
      <c r="M1935" t="str">
        <f>IFERROR(VLOOKUP(C1935, Customers!A:E, 5, FALSE), "Unknown")</f>
        <v>Retail</v>
      </c>
      <c r="N1935" t="str">
        <f>VLOOKUP(E1935, Sales_Reps!A:C, 3, FALSE)</f>
        <v>North</v>
      </c>
      <c r="O1935">
        <f>VLOOKUP(D1935, Products!A:D, 4, FALSE)</f>
        <v>1850</v>
      </c>
      <c r="P1935">
        <f>IFERROR(VLOOKUP(C1935, Customers!A:C, 3, FALSE), 0)</f>
        <v>33</v>
      </c>
      <c r="Q1935">
        <f t="shared" si="30"/>
        <v>0.59869848156182215</v>
      </c>
    </row>
    <row r="1936" spans="1:17" x14ac:dyDescent="0.3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  <c r="L1936" t="str">
        <f>VLOOKUP(D1936, Products!A:C, 3, FALSE)</f>
        <v>Home</v>
      </c>
      <c r="M1936" t="str">
        <f>IFERROR(VLOOKUP(C1936, Customers!A:E, 5, FALSE), "Unknown")</f>
        <v>Retail</v>
      </c>
      <c r="N1936" t="str">
        <f>VLOOKUP(E1936, Sales_Reps!A:C, 3, FALSE)</f>
        <v>North</v>
      </c>
      <c r="O1936">
        <f>VLOOKUP(D1936, Products!A:D, 4, FALSE)</f>
        <v>288</v>
      </c>
      <c r="P1936">
        <f>IFERROR(VLOOKUP(C1936, Customers!A:C, 3, FALSE), 0)</f>
        <v>59</v>
      </c>
      <c r="Q1936">
        <f t="shared" si="30"/>
        <v>0.22162162162162163</v>
      </c>
    </row>
    <row r="1937" spans="1:17" x14ac:dyDescent="0.3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  <c r="L1937" t="str">
        <f>VLOOKUP(D1937, Products!A:C, 3, FALSE)</f>
        <v>Grocery</v>
      </c>
      <c r="M1937" t="str">
        <f>IFERROR(VLOOKUP(C1937, Customers!A:E, 5, FALSE), "Unknown")</f>
        <v>Corporate</v>
      </c>
      <c r="N1937" t="str">
        <f>VLOOKUP(E1937, Sales_Reps!A:C, 3, FALSE)</f>
        <v>West</v>
      </c>
      <c r="O1937">
        <f>VLOOKUP(D1937, Products!A:D, 4, FALSE)</f>
        <v>1182</v>
      </c>
      <c r="P1937">
        <f>IFERROR(VLOOKUP(C1937, Customers!A:C, 3, FALSE), 0)</f>
        <v>24</v>
      </c>
      <c r="Q1937">
        <f t="shared" si="30"/>
        <v>0.50336134453781511</v>
      </c>
    </row>
    <row r="1938" spans="1:17" x14ac:dyDescent="0.3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  <c r="L1938" t="str">
        <f>VLOOKUP(D1938, Products!A:C, 3, FALSE)</f>
        <v>Beauty</v>
      </c>
      <c r="M1938" t="str">
        <f>IFERROR(VLOOKUP(C1938, Customers!A:E, 5, FALSE), "Unknown")</f>
        <v>SMB</v>
      </c>
      <c r="N1938" t="str">
        <f>VLOOKUP(E1938, Sales_Reps!A:C, 3, FALSE)</f>
        <v>East</v>
      </c>
      <c r="O1938">
        <f>VLOOKUP(D1938, Products!A:D, 4, FALSE)</f>
        <v>675</v>
      </c>
      <c r="P1938">
        <f>IFERROR(VLOOKUP(C1938, Customers!A:C, 3, FALSE), 0)</f>
        <v>40</v>
      </c>
      <c r="Q1938">
        <f t="shared" si="30"/>
        <v>0.296875</v>
      </c>
    </row>
    <row r="1939" spans="1:17" x14ac:dyDescent="0.3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  <c r="L1939" t="str">
        <f>VLOOKUP(D1939, Products!A:C, 3, FALSE)</f>
        <v>Sports</v>
      </c>
      <c r="M1939" t="str">
        <f>IFERROR(VLOOKUP(C1939, Customers!A:E, 5, FALSE), "Unknown")</f>
        <v>Retail</v>
      </c>
      <c r="N1939" t="str">
        <f>VLOOKUP(E1939, Sales_Reps!A:C, 3, FALSE)</f>
        <v>North</v>
      </c>
      <c r="O1939">
        <f>VLOOKUP(D1939, Products!A:D, 4, FALSE)</f>
        <v>705</v>
      </c>
      <c r="P1939">
        <f>IFERROR(VLOOKUP(C1939, Customers!A:C, 3, FALSE), 0)</f>
        <v>48</v>
      </c>
      <c r="Q1939">
        <f t="shared" si="30"/>
        <v>0.265625</v>
      </c>
    </row>
    <row r="1940" spans="1:17" x14ac:dyDescent="0.3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  <c r="L1940" t="str">
        <f>VLOOKUP(D1940, Products!A:C, 3, FALSE)</f>
        <v>Apparel</v>
      </c>
      <c r="M1940" t="str">
        <f>IFERROR(VLOOKUP(C1940, Customers!A:E, 5, FALSE), "Unknown")</f>
        <v>Retail</v>
      </c>
      <c r="N1940" t="str">
        <f>VLOOKUP(E1940, Sales_Reps!A:C, 3, FALSE)</f>
        <v>West</v>
      </c>
      <c r="O1940">
        <f>VLOOKUP(D1940, Products!A:D, 4, FALSE)</f>
        <v>396</v>
      </c>
      <c r="P1940">
        <f>IFERROR(VLOOKUP(C1940, Customers!A:C, 3, FALSE), 0)</f>
        <v>65</v>
      </c>
      <c r="Q1940">
        <f t="shared" si="30"/>
        <v>0.36129032258064514</v>
      </c>
    </row>
    <row r="1941" spans="1:17" x14ac:dyDescent="0.3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  <c r="L1941" t="str">
        <f>VLOOKUP(D1941, Products!A:C, 3, FALSE)</f>
        <v>Sports</v>
      </c>
      <c r="M1941" t="str">
        <f>IFERROR(VLOOKUP(C1941, Customers!A:E, 5, FALSE), "Unknown")</f>
        <v>Retail</v>
      </c>
      <c r="N1941" t="str">
        <f>VLOOKUP(E1941, Sales_Reps!A:C, 3, FALSE)</f>
        <v>East</v>
      </c>
      <c r="O1941">
        <f>VLOOKUP(D1941, Products!A:D, 4, FALSE)</f>
        <v>705</v>
      </c>
      <c r="P1941">
        <f>IFERROR(VLOOKUP(C1941, Customers!A:C, 3, FALSE), 0)</f>
        <v>54</v>
      </c>
      <c r="Q1941">
        <f t="shared" si="30"/>
        <v>0.265625</v>
      </c>
    </row>
    <row r="1942" spans="1:17" x14ac:dyDescent="0.3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  <c r="L1942" t="str">
        <f>VLOOKUP(D1942, Products!A:C, 3, FALSE)</f>
        <v>Beauty</v>
      </c>
      <c r="M1942" t="str">
        <f>IFERROR(VLOOKUP(C1942, Customers!A:E, 5, FALSE), "Unknown")</f>
        <v>Retail</v>
      </c>
      <c r="N1942" t="str">
        <f>VLOOKUP(E1942, Sales_Reps!A:C, 3, FALSE)</f>
        <v>West</v>
      </c>
      <c r="O1942">
        <f>VLOOKUP(D1942, Products!A:D, 4, FALSE)</f>
        <v>2420</v>
      </c>
      <c r="P1942">
        <f>IFERROR(VLOOKUP(C1942, Customers!A:C, 3, FALSE), 0)</f>
        <v>57</v>
      </c>
      <c r="Q1942">
        <f t="shared" si="30"/>
        <v>0.29855072463768118</v>
      </c>
    </row>
    <row r="1943" spans="1:17" x14ac:dyDescent="0.3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  <c r="L1943" t="str">
        <f>VLOOKUP(D1943, Products!A:C, 3, FALSE)</f>
        <v>Apparel</v>
      </c>
      <c r="M1943" t="str">
        <f>IFERROR(VLOOKUP(C1943, Customers!A:E, 5, FALSE), "Unknown")</f>
        <v>SMB</v>
      </c>
      <c r="N1943" t="str">
        <f>VLOOKUP(E1943, Sales_Reps!A:C, 3, FALSE)</f>
        <v>East</v>
      </c>
      <c r="O1943">
        <f>VLOOKUP(D1943, Products!A:D, 4, FALSE)</f>
        <v>1962</v>
      </c>
      <c r="P1943">
        <f>IFERROR(VLOOKUP(C1943, Customers!A:C, 3, FALSE), 0)</f>
        <v>43</v>
      </c>
      <c r="Q1943">
        <f t="shared" si="30"/>
        <v>0.2786764705882353</v>
      </c>
    </row>
    <row r="1944" spans="1:17" x14ac:dyDescent="0.3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  <c r="L1944" t="str">
        <f>VLOOKUP(D1944, Products!A:C, 3, FALSE)</f>
        <v>Beauty</v>
      </c>
      <c r="M1944" t="str">
        <f>IFERROR(VLOOKUP(C1944, Customers!A:E, 5, FALSE), "Unknown")</f>
        <v>SMB</v>
      </c>
      <c r="N1944" t="str">
        <f>VLOOKUP(E1944, Sales_Reps!A:C, 3, FALSE)</f>
        <v>East</v>
      </c>
      <c r="O1944">
        <f>VLOOKUP(D1944, Products!A:D, 4, FALSE)</f>
        <v>2420</v>
      </c>
      <c r="P1944">
        <f>IFERROR(VLOOKUP(C1944, Customers!A:C, 3, FALSE), 0)</f>
        <v>65</v>
      </c>
      <c r="Q1944">
        <f t="shared" si="30"/>
        <v>0.29855072463768118</v>
      </c>
    </row>
    <row r="1945" spans="1:17" x14ac:dyDescent="0.3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  <c r="L1945" t="str">
        <f>VLOOKUP(D1945, Products!A:C, 3, FALSE)</f>
        <v>Beauty</v>
      </c>
      <c r="M1945" t="str">
        <f>IFERROR(VLOOKUP(C1945, Customers!A:E, 5, FALSE), "Unknown")</f>
        <v>Retail</v>
      </c>
      <c r="N1945" t="str">
        <f>VLOOKUP(E1945, Sales_Reps!A:C, 3, FALSE)</f>
        <v>West</v>
      </c>
      <c r="O1945">
        <f>VLOOKUP(D1945, Products!A:D, 4, FALSE)</f>
        <v>1222</v>
      </c>
      <c r="P1945">
        <f>IFERROR(VLOOKUP(C1945, Customers!A:C, 3, FALSE), 0)</f>
        <v>65</v>
      </c>
      <c r="Q1945">
        <f t="shared" si="30"/>
        <v>0.2593939393939394</v>
      </c>
    </row>
    <row r="1946" spans="1:17" x14ac:dyDescent="0.3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  <c r="L1946" t="str">
        <f>VLOOKUP(D1946, Products!A:C, 3, FALSE)</f>
        <v>Apparel</v>
      </c>
      <c r="M1946" t="str">
        <f>IFERROR(VLOOKUP(C1946, Customers!A:E, 5, FALSE), "Unknown")</f>
        <v>SMB</v>
      </c>
      <c r="N1946" t="str">
        <f>VLOOKUP(E1946, Sales_Reps!A:C, 3, FALSE)</f>
        <v>South</v>
      </c>
      <c r="O1946">
        <f>VLOOKUP(D1946, Products!A:D, 4, FALSE)</f>
        <v>2509</v>
      </c>
      <c r="P1946">
        <f>IFERROR(VLOOKUP(C1946, Customers!A:C, 3, FALSE), 0)</f>
        <v>29</v>
      </c>
      <c r="Q1946">
        <f t="shared" si="30"/>
        <v>0.3069060773480663</v>
      </c>
    </row>
    <row r="1947" spans="1:17" x14ac:dyDescent="0.3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  <c r="L1947" t="str">
        <f>VLOOKUP(D1947, Products!A:C, 3, FALSE)</f>
        <v>Electronics</v>
      </c>
      <c r="M1947" t="str">
        <f>IFERROR(VLOOKUP(C1947, Customers!A:E, 5, FALSE), "Unknown")</f>
        <v>Retail</v>
      </c>
      <c r="N1947" t="str">
        <f>VLOOKUP(E1947, Sales_Reps!A:C, 3, FALSE)</f>
        <v>South</v>
      </c>
      <c r="O1947">
        <f>VLOOKUP(D1947, Products!A:D, 4, FALSE)</f>
        <v>128</v>
      </c>
      <c r="P1947">
        <f>IFERROR(VLOOKUP(C1947, Customers!A:C, 3, FALSE), 0)</f>
        <v>52</v>
      </c>
      <c r="Q1947">
        <f t="shared" si="30"/>
        <v>0.57333333333333336</v>
      </c>
    </row>
    <row r="1948" spans="1:17" x14ac:dyDescent="0.3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  <c r="L1948" t="str">
        <f>VLOOKUP(D1948, Products!A:C, 3, FALSE)</f>
        <v>Beauty</v>
      </c>
      <c r="M1948" t="str">
        <f>IFERROR(VLOOKUP(C1948, Customers!A:E, 5, FALSE), "Unknown")</f>
        <v>SMB</v>
      </c>
      <c r="N1948" t="str">
        <f>VLOOKUP(E1948, Sales_Reps!A:C, 3, FALSE)</f>
        <v>North</v>
      </c>
      <c r="O1948">
        <f>VLOOKUP(D1948, Products!A:D, 4, FALSE)</f>
        <v>647</v>
      </c>
      <c r="P1948">
        <f>IFERROR(VLOOKUP(C1948, Customers!A:C, 3, FALSE), 0)</f>
        <v>55</v>
      </c>
      <c r="Q1948">
        <f t="shared" si="30"/>
        <v>0.57987012987012987</v>
      </c>
    </row>
    <row r="1949" spans="1:17" x14ac:dyDescent="0.3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  <c r="L1949" t="str">
        <f>VLOOKUP(D1949, Products!A:C, 3, FALSE)</f>
        <v>Grocery</v>
      </c>
      <c r="M1949" t="str">
        <f>IFERROR(VLOOKUP(C1949, Customers!A:E, 5, FALSE), "Unknown")</f>
        <v>Retail</v>
      </c>
      <c r="N1949" t="str">
        <f>VLOOKUP(E1949, Sales_Reps!A:C, 3, FALSE)</f>
        <v>East</v>
      </c>
      <c r="O1949">
        <f>VLOOKUP(D1949, Products!A:D, 4, FALSE)</f>
        <v>1203</v>
      </c>
      <c r="P1949">
        <f>IFERROR(VLOOKUP(C1949, Customers!A:C, 3, FALSE), 0)</f>
        <v>27</v>
      </c>
      <c r="Q1949">
        <f t="shared" si="30"/>
        <v>0.47004405286343615</v>
      </c>
    </row>
    <row r="1950" spans="1:17" x14ac:dyDescent="0.3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  <c r="L1950" t="str">
        <f>VLOOKUP(D1950, Products!A:C, 3, FALSE)</f>
        <v>Electronics</v>
      </c>
      <c r="M1950" t="str">
        <f>IFERROR(VLOOKUP(C1950, Customers!A:E, 5, FALSE), "Unknown")</f>
        <v>SMB</v>
      </c>
      <c r="N1950" t="str">
        <f>VLOOKUP(E1950, Sales_Reps!A:C, 3, FALSE)</f>
        <v>North</v>
      </c>
      <c r="O1950">
        <f>VLOOKUP(D1950, Products!A:D, 4, FALSE)</f>
        <v>1149</v>
      </c>
      <c r="P1950">
        <f>IFERROR(VLOOKUP(C1950, Customers!A:C, 3, FALSE), 0)</f>
        <v>59</v>
      </c>
      <c r="Q1950">
        <f t="shared" si="30"/>
        <v>0.56477272727272732</v>
      </c>
    </row>
    <row r="1951" spans="1:17" x14ac:dyDescent="0.3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  <c r="L1951" t="str">
        <f>VLOOKUP(D1951, Products!A:C, 3, FALSE)</f>
        <v>Electronics</v>
      </c>
      <c r="M1951" t="str">
        <f>IFERROR(VLOOKUP(C1951, Customers!A:E, 5, FALSE), "Unknown")</f>
        <v>Retail</v>
      </c>
      <c r="N1951" t="str">
        <f>VLOOKUP(E1951, Sales_Reps!A:C, 3, FALSE)</f>
        <v>South</v>
      </c>
      <c r="O1951">
        <f>VLOOKUP(D1951, Products!A:D, 4, FALSE)</f>
        <v>1149</v>
      </c>
      <c r="P1951">
        <f>IFERROR(VLOOKUP(C1951, Customers!A:C, 3, FALSE), 0)</f>
        <v>44</v>
      </c>
      <c r="Q1951">
        <f t="shared" si="30"/>
        <v>0.56477272727272732</v>
      </c>
    </row>
    <row r="1952" spans="1:17" x14ac:dyDescent="0.3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  <c r="L1952" t="str">
        <f>VLOOKUP(D1952, Products!A:C, 3, FALSE)</f>
        <v>Electronics</v>
      </c>
      <c r="M1952" t="str">
        <f>IFERROR(VLOOKUP(C1952, Customers!A:E, 5, FALSE), "Unknown")</f>
        <v>Retail</v>
      </c>
      <c r="N1952" t="str">
        <f>VLOOKUP(E1952, Sales_Reps!A:C, 3, FALSE)</f>
        <v>West</v>
      </c>
      <c r="O1952">
        <f>VLOOKUP(D1952, Products!A:D, 4, FALSE)</f>
        <v>861</v>
      </c>
      <c r="P1952">
        <f>IFERROR(VLOOKUP(C1952, Customers!A:C, 3, FALSE), 0)</f>
        <v>53</v>
      </c>
      <c r="Q1952">
        <f t="shared" si="30"/>
        <v>0.39790209790209791</v>
      </c>
    </row>
    <row r="1953" spans="1:17" x14ac:dyDescent="0.3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  <c r="L1953" t="str">
        <f>VLOOKUP(D1953, Products!A:C, 3, FALSE)</f>
        <v>Electronics</v>
      </c>
      <c r="M1953" t="str">
        <f>IFERROR(VLOOKUP(C1953, Customers!A:E, 5, FALSE), "Unknown")</f>
        <v>SMB</v>
      </c>
      <c r="N1953" t="str">
        <f>VLOOKUP(E1953, Sales_Reps!A:C, 3, FALSE)</f>
        <v>East</v>
      </c>
      <c r="O1953">
        <f>VLOOKUP(D1953, Products!A:D, 4, FALSE)</f>
        <v>1665</v>
      </c>
      <c r="P1953">
        <f>IFERROR(VLOOKUP(C1953, Customers!A:C, 3, FALSE), 0)</f>
        <v>30</v>
      </c>
      <c r="Q1953">
        <f t="shared" si="30"/>
        <v>0.53361344537815125</v>
      </c>
    </row>
    <row r="1954" spans="1:17" x14ac:dyDescent="0.3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  <c r="L1954" t="str">
        <f>VLOOKUP(D1954, Products!A:C, 3, FALSE)</f>
        <v>Electronics</v>
      </c>
      <c r="M1954" t="str">
        <f>IFERROR(VLOOKUP(C1954, Customers!A:E, 5, FALSE), "Unknown")</f>
        <v>Retail</v>
      </c>
      <c r="N1954" t="str">
        <f>VLOOKUP(E1954, Sales_Reps!A:C, 3, FALSE)</f>
        <v>West</v>
      </c>
      <c r="O1954">
        <f>VLOOKUP(D1954, Products!A:D, 4, FALSE)</f>
        <v>1665</v>
      </c>
      <c r="P1954">
        <f>IFERROR(VLOOKUP(C1954, Customers!A:C, 3, FALSE), 0)</f>
        <v>30</v>
      </c>
      <c r="Q1954">
        <f t="shared" si="30"/>
        <v>0.53361344537815125</v>
      </c>
    </row>
    <row r="1955" spans="1:17" x14ac:dyDescent="0.3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  <c r="L1955" t="str">
        <f>VLOOKUP(D1955, Products!A:C, 3, FALSE)</f>
        <v>Electronics</v>
      </c>
      <c r="M1955" t="str">
        <f>IFERROR(VLOOKUP(C1955, Customers!A:E, 5, FALSE), "Unknown")</f>
        <v>SMB</v>
      </c>
      <c r="N1955" t="str">
        <f>VLOOKUP(E1955, Sales_Reps!A:C, 3, FALSE)</f>
        <v>West</v>
      </c>
      <c r="O1955">
        <f>VLOOKUP(D1955, Products!A:D, 4, FALSE)</f>
        <v>1559</v>
      </c>
      <c r="P1955">
        <f>IFERROR(VLOOKUP(C1955, Customers!A:C, 3, FALSE), 0)</f>
        <v>43</v>
      </c>
      <c r="Q1955">
        <f t="shared" si="30"/>
        <v>0.59715762273901807</v>
      </c>
    </row>
    <row r="1956" spans="1:17" x14ac:dyDescent="0.3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  <c r="L1956" t="str">
        <f>VLOOKUP(D1956, Products!A:C, 3, FALSE)</f>
        <v>Sports</v>
      </c>
      <c r="M1956" t="str">
        <f>IFERROR(VLOOKUP(C1956, Customers!A:E, 5, FALSE), "Unknown")</f>
        <v>SMB</v>
      </c>
      <c r="N1956" t="str">
        <f>VLOOKUP(E1956, Sales_Reps!A:C, 3, FALSE)</f>
        <v>South</v>
      </c>
      <c r="O1956">
        <f>VLOOKUP(D1956, Products!A:D, 4, FALSE)</f>
        <v>2827</v>
      </c>
      <c r="P1956">
        <f>IFERROR(VLOOKUP(C1956, Customers!A:C, 3, FALSE), 0)</f>
        <v>26</v>
      </c>
      <c r="Q1956">
        <f t="shared" si="30"/>
        <v>0.5926512968299712</v>
      </c>
    </row>
    <row r="1957" spans="1:17" x14ac:dyDescent="0.3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  <c r="L1957" t="str">
        <f>VLOOKUP(D1957, Products!A:C, 3, FALSE)</f>
        <v>Home</v>
      </c>
      <c r="M1957" t="str">
        <f>IFERROR(VLOOKUP(C1957, Customers!A:E, 5, FALSE), "Unknown")</f>
        <v>Retail</v>
      </c>
      <c r="N1957" t="str">
        <f>VLOOKUP(E1957, Sales_Reps!A:C, 3, FALSE)</f>
        <v>West</v>
      </c>
      <c r="O1957">
        <f>VLOOKUP(D1957, Products!A:D, 4, FALSE)</f>
        <v>288</v>
      </c>
      <c r="P1957">
        <f>IFERROR(VLOOKUP(C1957, Customers!A:C, 3, FALSE), 0)</f>
        <v>53</v>
      </c>
      <c r="Q1957">
        <f t="shared" si="30"/>
        <v>0.22162162162162163</v>
      </c>
    </row>
    <row r="1958" spans="1:17" x14ac:dyDescent="0.3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  <c r="L1958" t="str">
        <f>VLOOKUP(D1958, Products!A:C, 3, FALSE)</f>
        <v>Apparel</v>
      </c>
      <c r="M1958" t="str">
        <f>IFERROR(VLOOKUP(C1958, Customers!A:E, 5, FALSE), "Unknown")</f>
        <v>Corporate</v>
      </c>
      <c r="N1958" t="str">
        <f>VLOOKUP(E1958, Sales_Reps!A:C, 3, FALSE)</f>
        <v>West</v>
      </c>
      <c r="O1958">
        <f>VLOOKUP(D1958, Products!A:D, 4, FALSE)</f>
        <v>2629</v>
      </c>
      <c r="P1958">
        <f>IFERROR(VLOOKUP(C1958, Customers!A:C, 3, FALSE), 0)</f>
        <v>55</v>
      </c>
      <c r="Q1958">
        <f t="shared" si="30"/>
        <v>0.26151685393258428</v>
      </c>
    </row>
    <row r="1959" spans="1:17" x14ac:dyDescent="0.3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  <c r="L1959" t="str">
        <f>VLOOKUP(D1959, Products!A:C, 3, FALSE)</f>
        <v>Electronics</v>
      </c>
      <c r="M1959" t="str">
        <f>IFERROR(VLOOKUP(C1959, Customers!A:E, 5, FALSE), "Unknown")</f>
        <v>Retail</v>
      </c>
      <c r="N1959" t="str">
        <f>VLOOKUP(E1959, Sales_Reps!A:C, 3, FALSE)</f>
        <v>West</v>
      </c>
      <c r="O1959">
        <f>VLOOKUP(D1959, Products!A:D, 4, FALSE)</f>
        <v>517</v>
      </c>
      <c r="P1959">
        <f>IFERROR(VLOOKUP(C1959, Customers!A:C, 3, FALSE), 0)</f>
        <v>44</v>
      </c>
      <c r="Q1959">
        <f t="shared" si="30"/>
        <v>0.57622950819672136</v>
      </c>
    </row>
    <row r="1960" spans="1:17" x14ac:dyDescent="0.3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  <c r="L1960" t="str">
        <f>VLOOKUP(D1960, Products!A:C, 3, FALSE)</f>
        <v>Grocery</v>
      </c>
      <c r="M1960" t="str">
        <f>IFERROR(VLOOKUP(C1960, Customers!A:E, 5, FALSE), "Unknown")</f>
        <v>Retail</v>
      </c>
      <c r="N1960" t="str">
        <f>VLOOKUP(E1960, Sales_Reps!A:C, 3, FALSE)</f>
        <v>East</v>
      </c>
      <c r="O1960">
        <f>VLOOKUP(D1960, Products!A:D, 4, FALSE)</f>
        <v>2027</v>
      </c>
      <c r="P1960">
        <f>IFERROR(VLOOKUP(C1960, Customers!A:C, 3, FALSE), 0)</f>
        <v>24</v>
      </c>
      <c r="Q1960">
        <f t="shared" si="30"/>
        <v>0.50196560196560192</v>
      </c>
    </row>
    <row r="1961" spans="1:17" x14ac:dyDescent="0.3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  <c r="L1961" t="str">
        <f>VLOOKUP(D1961, Products!A:C, 3, FALSE)</f>
        <v>Grocery</v>
      </c>
      <c r="M1961" t="str">
        <f>IFERROR(VLOOKUP(C1961, Customers!A:E, 5, FALSE), "Unknown")</f>
        <v>Retail</v>
      </c>
      <c r="N1961" t="str">
        <f>VLOOKUP(E1961, Sales_Reps!A:C, 3, FALSE)</f>
        <v>East</v>
      </c>
      <c r="O1961">
        <f>VLOOKUP(D1961, Products!A:D, 4, FALSE)</f>
        <v>2214</v>
      </c>
      <c r="P1961">
        <f>IFERROR(VLOOKUP(C1961, Customers!A:C, 3, FALSE), 0)</f>
        <v>63</v>
      </c>
      <c r="Q1961">
        <f t="shared" si="30"/>
        <v>0.39508196721311473</v>
      </c>
    </row>
    <row r="1962" spans="1:17" x14ac:dyDescent="0.3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  <c r="L1962" t="str">
        <f>VLOOKUP(D1962, Products!A:C, 3, FALSE)</f>
        <v>Home</v>
      </c>
      <c r="M1962" t="str">
        <f>IFERROR(VLOOKUP(C1962, Customers!A:E, 5, FALSE), "Unknown")</f>
        <v>Retail</v>
      </c>
      <c r="N1962" t="str">
        <f>VLOOKUP(E1962, Sales_Reps!A:C, 3, FALSE)</f>
        <v>East</v>
      </c>
      <c r="O1962">
        <f>VLOOKUP(D1962, Products!A:D, 4, FALSE)</f>
        <v>2459</v>
      </c>
      <c r="P1962">
        <f>IFERROR(VLOOKUP(C1962, Customers!A:C, 3, FALSE), 0)</f>
        <v>53</v>
      </c>
      <c r="Q1962">
        <f t="shared" si="30"/>
        <v>0.51594488188976373</v>
      </c>
    </row>
    <row r="1963" spans="1:17" x14ac:dyDescent="0.3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  <c r="L1963" t="str">
        <f>VLOOKUP(D1963, Products!A:C, 3, FALSE)</f>
        <v>Home</v>
      </c>
      <c r="M1963" t="str">
        <f>IFERROR(VLOOKUP(C1963, Customers!A:E, 5, FALSE), "Unknown")</f>
        <v>Retail</v>
      </c>
      <c r="N1963" t="str">
        <f>VLOOKUP(E1963, Sales_Reps!A:C, 3, FALSE)</f>
        <v>South</v>
      </c>
      <c r="O1963">
        <f>VLOOKUP(D1963, Products!A:D, 4, FALSE)</f>
        <v>1850</v>
      </c>
      <c r="P1963">
        <f>IFERROR(VLOOKUP(C1963, Customers!A:C, 3, FALSE), 0)</f>
        <v>63</v>
      </c>
      <c r="Q1963">
        <f t="shared" si="30"/>
        <v>0.59869848156182215</v>
      </c>
    </row>
    <row r="1964" spans="1:17" x14ac:dyDescent="0.3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  <c r="L1964" t="str">
        <f>VLOOKUP(D1964, Products!A:C, 3, FALSE)</f>
        <v>Electronics</v>
      </c>
      <c r="M1964" t="str">
        <f>IFERROR(VLOOKUP(C1964, Customers!A:E, 5, FALSE), "Unknown")</f>
        <v>Retail</v>
      </c>
      <c r="N1964" t="str">
        <f>VLOOKUP(E1964, Sales_Reps!A:C, 3, FALSE)</f>
        <v>North</v>
      </c>
      <c r="O1964">
        <f>VLOOKUP(D1964, Products!A:D, 4, FALSE)</f>
        <v>1259</v>
      </c>
      <c r="P1964">
        <f>IFERROR(VLOOKUP(C1964, Customers!A:C, 3, FALSE), 0)</f>
        <v>27</v>
      </c>
      <c r="Q1964">
        <f t="shared" si="30"/>
        <v>0.52669172932330832</v>
      </c>
    </row>
    <row r="1965" spans="1:17" x14ac:dyDescent="0.3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  <c r="L1965" t="str">
        <f>VLOOKUP(D1965, Products!A:C, 3, FALSE)</f>
        <v>Apparel</v>
      </c>
      <c r="M1965" t="str">
        <f>IFERROR(VLOOKUP(C1965, Customers!A:E, 5, FALSE), "Unknown")</f>
        <v>SMB</v>
      </c>
      <c r="N1965" t="str">
        <f>VLOOKUP(E1965, Sales_Reps!A:C, 3, FALSE)</f>
        <v>North</v>
      </c>
      <c r="O1965">
        <f>VLOOKUP(D1965, Products!A:D, 4, FALSE)</f>
        <v>1886</v>
      </c>
      <c r="P1965">
        <f>IFERROR(VLOOKUP(C1965, Customers!A:C, 3, FALSE), 0)</f>
        <v>48</v>
      </c>
      <c r="Q1965">
        <f t="shared" si="30"/>
        <v>0.4031645569620253</v>
      </c>
    </row>
    <row r="1966" spans="1:17" x14ac:dyDescent="0.3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  <c r="L1966" t="str">
        <f>VLOOKUP(D1966, Products!A:C, 3, FALSE)</f>
        <v>Home</v>
      </c>
      <c r="M1966" t="str">
        <f>IFERROR(VLOOKUP(C1966, Customers!A:E, 5, FALSE), "Unknown")</f>
        <v>Retail</v>
      </c>
      <c r="N1966" t="str">
        <f>VLOOKUP(E1966, Sales_Reps!A:C, 3, FALSE)</f>
        <v>North</v>
      </c>
      <c r="O1966">
        <f>VLOOKUP(D1966, Products!A:D, 4, FALSE)</f>
        <v>288</v>
      </c>
      <c r="P1966">
        <f>IFERROR(VLOOKUP(C1966, Customers!A:C, 3, FALSE), 0)</f>
        <v>41</v>
      </c>
      <c r="Q1966">
        <f t="shared" si="30"/>
        <v>0.22162162162162163</v>
      </c>
    </row>
    <row r="1967" spans="1:17" x14ac:dyDescent="0.3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  <c r="L1967" t="str">
        <f>VLOOKUP(D1967, Products!A:C, 3, FALSE)</f>
        <v>Sports</v>
      </c>
      <c r="M1967" t="str">
        <f>IFERROR(VLOOKUP(C1967, Customers!A:E, 5, FALSE), "Unknown")</f>
        <v>Retail</v>
      </c>
      <c r="N1967" t="str">
        <f>VLOOKUP(E1967, Sales_Reps!A:C, 3, FALSE)</f>
        <v>North</v>
      </c>
      <c r="O1967">
        <f>VLOOKUP(D1967, Products!A:D, 4, FALSE)</f>
        <v>516</v>
      </c>
      <c r="P1967">
        <f>IFERROR(VLOOKUP(C1967, Customers!A:C, 3, FALSE), 0)</f>
        <v>54</v>
      </c>
      <c r="Q1967">
        <f t="shared" si="30"/>
        <v>0.4891089108910891</v>
      </c>
    </row>
    <row r="1968" spans="1:17" x14ac:dyDescent="0.3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  <c r="L1968" t="str">
        <f>VLOOKUP(D1968, Products!A:C, 3, FALSE)</f>
        <v>Apparel</v>
      </c>
      <c r="M1968" t="str">
        <f>IFERROR(VLOOKUP(C1968, Customers!A:E, 5, FALSE), "Unknown")</f>
        <v>SMB</v>
      </c>
      <c r="N1968" t="str">
        <f>VLOOKUP(E1968, Sales_Reps!A:C, 3, FALSE)</f>
        <v>West</v>
      </c>
      <c r="O1968">
        <f>VLOOKUP(D1968, Products!A:D, 4, FALSE)</f>
        <v>2629</v>
      </c>
      <c r="P1968">
        <f>IFERROR(VLOOKUP(C1968, Customers!A:C, 3, FALSE), 0)</f>
        <v>65</v>
      </c>
      <c r="Q1968">
        <f t="shared" si="30"/>
        <v>0.26151685393258428</v>
      </c>
    </row>
    <row r="1969" spans="1:17" x14ac:dyDescent="0.3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  <c r="L1969" t="str">
        <f>VLOOKUP(D1969, Products!A:C, 3, FALSE)</f>
        <v>Electronics</v>
      </c>
      <c r="M1969" t="str">
        <f>IFERROR(VLOOKUP(C1969, Customers!A:E, 5, FALSE), "Unknown")</f>
        <v>Retail</v>
      </c>
      <c r="N1969" t="str">
        <f>VLOOKUP(E1969, Sales_Reps!A:C, 3, FALSE)</f>
        <v>West</v>
      </c>
      <c r="O1969">
        <f>VLOOKUP(D1969, Products!A:D, 4, FALSE)</f>
        <v>517</v>
      </c>
      <c r="P1969">
        <f>IFERROR(VLOOKUP(C1969, Customers!A:C, 3, FALSE), 0)</f>
        <v>28</v>
      </c>
      <c r="Q1969">
        <f t="shared" si="30"/>
        <v>0.57622950819672136</v>
      </c>
    </row>
    <row r="1970" spans="1:17" x14ac:dyDescent="0.3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  <c r="L1970" t="str">
        <f>VLOOKUP(D1970, Products!A:C, 3, FALSE)</f>
        <v>Sports</v>
      </c>
      <c r="M1970" t="str">
        <f>IFERROR(VLOOKUP(C1970, Customers!A:E, 5, FALSE), "Unknown")</f>
        <v>Retail</v>
      </c>
      <c r="N1970" t="str">
        <f>VLOOKUP(E1970, Sales_Reps!A:C, 3, FALSE)</f>
        <v>North</v>
      </c>
      <c r="O1970">
        <f>VLOOKUP(D1970, Products!A:D, 4, FALSE)</f>
        <v>147</v>
      </c>
      <c r="P1970">
        <f>IFERROR(VLOOKUP(C1970, Customers!A:C, 3, FALSE), 0)</f>
        <v>42</v>
      </c>
      <c r="Q1970">
        <f t="shared" si="30"/>
        <v>0.22631578947368422</v>
      </c>
    </row>
    <row r="1971" spans="1:17" x14ac:dyDescent="0.3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  <c r="L1971" t="str">
        <f>VLOOKUP(D1971, Products!A:C, 3, FALSE)</f>
        <v>Sports</v>
      </c>
      <c r="M1971" t="str">
        <f>IFERROR(VLOOKUP(C1971, Customers!A:E, 5, FALSE), "Unknown")</f>
        <v>Corporate</v>
      </c>
      <c r="N1971" t="str">
        <f>VLOOKUP(E1971, Sales_Reps!A:C, 3, FALSE)</f>
        <v>North</v>
      </c>
      <c r="O1971">
        <f>VLOOKUP(D1971, Products!A:D, 4, FALSE)</f>
        <v>516</v>
      </c>
      <c r="P1971">
        <f>IFERROR(VLOOKUP(C1971, Customers!A:C, 3, FALSE), 0)</f>
        <v>24</v>
      </c>
      <c r="Q1971">
        <f t="shared" si="30"/>
        <v>0.4891089108910891</v>
      </c>
    </row>
    <row r="1972" spans="1:17" x14ac:dyDescent="0.3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  <c r="L1972" t="str">
        <f>VLOOKUP(D1972, Products!A:C, 3, FALSE)</f>
        <v>Electronics</v>
      </c>
      <c r="M1972" t="str">
        <f>IFERROR(VLOOKUP(C1972, Customers!A:E, 5, FALSE), "Unknown")</f>
        <v>Retail</v>
      </c>
      <c r="N1972" t="str">
        <f>VLOOKUP(E1972, Sales_Reps!A:C, 3, FALSE)</f>
        <v>South</v>
      </c>
      <c r="O1972">
        <f>VLOOKUP(D1972, Products!A:D, 4, FALSE)</f>
        <v>1052</v>
      </c>
      <c r="P1972">
        <f>IFERROR(VLOOKUP(C1972, Customers!A:C, 3, FALSE), 0)</f>
        <v>57</v>
      </c>
      <c r="Q1972">
        <f t="shared" si="30"/>
        <v>0.5953846153846154</v>
      </c>
    </row>
    <row r="1973" spans="1:17" x14ac:dyDescent="0.3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  <c r="L1973" t="str">
        <f>VLOOKUP(D1973, Products!A:C, 3, FALSE)</f>
        <v>Apparel</v>
      </c>
      <c r="M1973" t="str">
        <f>IFERROR(VLOOKUP(C1973, Customers!A:E, 5, FALSE), "Unknown")</f>
        <v>Retail</v>
      </c>
      <c r="N1973" t="str">
        <f>VLOOKUP(E1973, Sales_Reps!A:C, 3, FALSE)</f>
        <v>West</v>
      </c>
      <c r="O1973">
        <f>VLOOKUP(D1973, Products!A:D, 4, FALSE)</f>
        <v>1748</v>
      </c>
      <c r="P1973">
        <f>IFERROR(VLOOKUP(C1973, Customers!A:C, 3, FALSE), 0)</f>
        <v>41</v>
      </c>
      <c r="Q1973">
        <f t="shared" si="30"/>
        <v>0.49333333333333335</v>
      </c>
    </row>
    <row r="1974" spans="1:17" x14ac:dyDescent="0.3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  <c r="L1974" t="str">
        <f>VLOOKUP(D1974, Products!A:C, 3, FALSE)</f>
        <v>Apparel</v>
      </c>
      <c r="M1974" t="str">
        <f>IFERROR(VLOOKUP(C1974, Customers!A:E, 5, FALSE), "Unknown")</f>
        <v>Corporate</v>
      </c>
      <c r="N1974" t="str">
        <f>VLOOKUP(E1974, Sales_Reps!A:C, 3, FALSE)</f>
        <v>East</v>
      </c>
      <c r="O1974">
        <f>VLOOKUP(D1974, Products!A:D, 4, FALSE)</f>
        <v>1075</v>
      </c>
      <c r="P1974">
        <f>IFERROR(VLOOKUP(C1974, Customers!A:C, 3, FALSE), 0)</f>
        <v>52</v>
      </c>
      <c r="Q1974">
        <f t="shared" si="30"/>
        <v>0.57171314741035861</v>
      </c>
    </row>
    <row r="1975" spans="1:17" x14ac:dyDescent="0.3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  <c r="L1975" t="str">
        <f>VLOOKUP(D1975, Products!A:C, 3, FALSE)</f>
        <v>Sports</v>
      </c>
      <c r="M1975" t="str">
        <f>IFERROR(VLOOKUP(C1975, Customers!A:E, 5, FALSE), "Unknown")</f>
        <v>Retail</v>
      </c>
      <c r="N1975" t="str">
        <f>VLOOKUP(E1975, Sales_Reps!A:C, 3, FALSE)</f>
        <v>West</v>
      </c>
      <c r="O1975">
        <f>VLOOKUP(D1975, Products!A:D, 4, FALSE)</f>
        <v>147</v>
      </c>
      <c r="P1975">
        <f>IFERROR(VLOOKUP(C1975, Customers!A:C, 3, FALSE), 0)</f>
        <v>36</v>
      </c>
      <c r="Q1975">
        <f t="shared" si="30"/>
        <v>0.22631578947368422</v>
      </c>
    </row>
    <row r="1976" spans="1:17" x14ac:dyDescent="0.3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  <c r="L1976" t="str">
        <f>VLOOKUP(D1976, Products!A:C, 3, FALSE)</f>
        <v>Beauty</v>
      </c>
      <c r="M1976" t="str">
        <f>IFERROR(VLOOKUP(C1976, Customers!A:E, 5, FALSE), "Unknown")</f>
        <v>Retail</v>
      </c>
      <c r="N1976" t="str">
        <f>VLOOKUP(E1976, Sales_Reps!A:C, 3, FALSE)</f>
        <v>West</v>
      </c>
      <c r="O1976">
        <f>VLOOKUP(D1976, Products!A:D, 4, FALSE)</f>
        <v>1222</v>
      </c>
      <c r="P1976">
        <f>IFERROR(VLOOKUP(C1976, Customers!A:C, 3, FALSE), 0)</f>
        <v>42</v>
      </c>
      <c r="Q1976">
        <f t="shared" si="30"/>
        <v>0.2593939393939394</v>
      </c>
    </row>
    <row r="1977" spans="1:17" x14ac:dyDescent="0.3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  <c r="L1977" t="str">
        <f>VLOOKUP(D1977, Products!A:C, 3, FALSE)</f>
        <v>Sports</v>
      </c>
      <c r="M1977" t="str">
        <f>IFERROR(VLOOKUP(C1977, Customers!A:E, 5, FALSE), "Unknown")</f>
        <v>Corporate</v>
      </c>
      <c r="N1977" t="str">
        <f>VLOOKUP(E1977, Sales_Reps!A:C, 3, FALSE)</f>
        <v>South</v>
      </c>
      <c r="O1977">
        <f>VLOOKUP(D1977, Products!A:D, 4, FALSE)</f>
        <v>2028</v>
      </c>
      <c r="P1977">
        <f>IFERROR(VLOOKUP(C1977, Customers!A:C, 3, FALSE), 0)</f>
        <v>57</v>
      </c>
      <c r="Q1977">
        <f t="shared" si="30"/>
        <v>0.29090909090909089</v>
      </c>
    </row>
    <row r="1978" spans="1:17" x14ac:dyDescent="0.3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  <c r="L1978" t="str">
        <f>VLOOKUP(D1978, Products!A:C, 3, FALSE)</f>
        <v>Sports</v>
      </c>
      <c r="M1978" t="str">
        <f>IFERROR(VLOOKUP(C1978, Customers!A:E, 5, FALSE), "Unknown")</f>
        <v>Retail</v>
      </c>
      <c r="N1978" t="str">
        <f>VLOOKUP(E1978, Sales_Reps!A:C, 3, FALSE)</f>
        <v>West</v>
      </c>
      <c r="O1978">
        <f>VLOOKUP(D1978, Products!A:D, 4, FALSE)</f>
        <v>302</v>
      </c>
      <c r="P1978">
        <f>IFERROR(VLOOKUP(C1978, Customers!A:C, 3, FALSE), 0)</f>
        <v>54</v>
      </c>
      <c r="Q1978">
        <f t="shared" si="30"/>
        <v>0.35744680851063831</v>
      </c>
    </row>
    <row r="1979" spans="1:17" x14ac:dyDescent="0.3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  <c r="L1979" t="str">
        <f>VLOOKUP(D1979, Products!A:C, 3, FALSE)</f>
        <v>Sports</v>
      </c>
      <c r="M1979" t="str">
        <f>IFERROR(VLOOKUP(C1979, Customers!A:E, 5, FALSE), "Unknown")</f>
        <v>Corporate</v>
      </c>
      <c r="N1979" t="str">
        <f>VLOOKUP(E1979, Sales_Reps!A:C, 3, FALSE)</f>
        <v>West</v>
      </c>
      <c r="O1979">
        <f>VLOOKUP(D1979, Products!A:D, 4, FALSE)</f>
        <v>2028</v>
      </c>
      <c r="P1979">
        <f>IFERROR(VLOOKUP(C1979, Customers!A:C, 3, FALSE), 0)</f>
        <v>54</v>
      </c>
      <c r="Q1979">
        <f t="shared" si="30"/>
        <v>0.29090909090909089</v>
      </c>
    </row>
    <row r="1980" spans="1:17" x14ac:dyDescent="0.3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  <c r="L1980" t="str">
        <f>VLOOKUP(D1980, Products!A:C, 3, FALSE)</f>
        <v>Apparel</v>
      </c>
      <c r="M1980" t="str">
        <f>IFERROR(VLOOKUP(C1980, Customers!A:E, 5, FALSE), "Unknown")</f>
        <v>Retail</v>
      </c>
      <c r="N1980" t="str">
        <f>VLOOKUP(E1980, Sales_Reps!A:C, 3, FALSE)</f>
        <v>East</v>
      </c>
      <c r="O1980">
        <f>VLOOKUP(D1980, Products!A:D, 4, FALSE)</f>
        <v>1173</v>
      </c>
      <c r="P1980">
        <f>IFERROR(VLOOKUP(C1980, Customers!A:C, 3, FALSE), 0)</f>
        <v>38</v>
      </c>
      <c r="Q1980">
        <f t="shared" si="30"/>
        <v>0.52701612903225803</v>
      </c>
    </row>
    <row r="1981" spans="1:17" x14ac:dyDescent="0.3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  <c r="L1981" t="str">
        <f>VLOOKUP(D1981, Products!A:C, 3, FALSE)</f>
        <v>Home</v>
      </c>
      <c r="M1981" t="str">
        <f>IFERROR(VLOOKUP(C1981, Customers!A:E, 5, FALSE), "Unknown")</f>
        <v>SMB</v>
      </c>
      <c r="N1981" t="str">
        <f>VLOOKUP(E1981, Sales_Reps!A:C, 3, FALSE)</f>
        <v>North</v>
      </c>
      <c r="O1981">
        <f>VLOOKUP(D1981, Products!A:D, 4, FALSE)</f>
        <v>1143</v>
      </c>
      <c r="P1981">
        <f>IFERROR(VLOOKUP(C1981, Customers!A:C, 3, FALSE), 0)</f>
        <v>44</v>
      </c>
      <c r="Q1981">
        <f t="shared" si="30"/>
        <v>0.43694581280788175</v>
      </c>
    </row>
    <row r="1982" spans="1:17" x14ac:dyDescent="0.3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  <c r="L1982" t="str">
        <f>VLOOKUP(D1982, Products!A:C, 3, FALSE)</f>
        <v>Beauty</v>
      </c>
      <c r="M1982" t="str">
        <f>IFERROR(VLOOKUP(C1982, Customers!A:E, 5, FALSE), "Unknown")</f>
        <v>SMB</v>
      </c>
      <c r="N1982" t="str">
        <f>VLOOKUP(E1982, Sales_Reps!A:C, 3, FALSE)</f>
        <v>South</v>
      </c>
      <c r="O1982">
        <f>VLOOKUP(D1982, Products!A:D, 4, FALSE)</f>
        <v>2420</v>
      </c>
      <c r="P1982">
        <f>IFERROR(VLOOKUP(C1982, Customers!A:C, 3, FALSE), 0)</f>
        <v>44</v>
      </c>
      <c r="Q1982">
        <f t="shared" si="30"/>
        <v>0.29855072463768118</v>
      </c>
    </row>
    <row r="1983" spans="1:17" x14ac:dyDescent="0.3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  <c r="L1983" t="str">
        <f>VLOOKUP(D1983, Products!A:C, 3, FALSE)</f>
        <v>Electronics</v>
      </c>
      <c r="M1983" t="str">
        <f>IFERROR(VLOOKUP(C1983, Customers!A:E, 5, FALSE), "Unknown")</f>
        <v>Retail</v>
      </c>
      <c r="N1983" t="str">
        <f>VLOOKUP(E1983, Sales_Reps!A:C, 3, FALSE)</f>
        <v>South</v>
      </c>
      <c r="O1983">
        <f>VLOOKUP(D1983, Products!A:D, 4, FALSE)</f>
        <v>861</v>
      </c>
      <c r="P1983">
        <f>IFERROR(VLOOKUP(C1983, Customers!A:C, 3, FALSE), 0)</f>
        <v>61</v>
      </c>
      <c r="Q1983">
        <f t="shared" si="30"/>
        <v>0.39790209790209791</v>
      </c>
    </row>
    <row r="1984" spans="1:17" x14ac:dyDescent="0.3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  <c r="L1984" t="str">
        <f>VLOOKUP(D1984, Products!A:C, 3, FALSE)</f>
        <v>Apparel</v>
      </c>
      <c r="M1984" t="str">
        <f>IFERROR(VLOOKUP(C1984, Customers!A:E, 5, FALSE), "Unknown")</f>
        <v>Retail</v>
      </c>
      <c r="N1984" t="str">
        <f>VLOOKUP(E1984, Sales_Reps!A:C, 3, FALSE)</f>
        <v>East</v>
      </c>
      <c r="O1984">
        <f>VLOOKUP(D1984, Products!A:D, 4, FALSE)</f>
        <v>391</v>
      </c>
      <c r="P1984">
        <f>IFERROR(VLOOKUP(C1984, Customers!A:C, 3, FALSE), 0)</f>
        <v>26</v>
      </c>
      <c r="Q1984">
        <f t="shared" si="30"/>
        <v>0.52317073170731709</v>
      </c>
    </row>
    <row r="1985" spans="1:17" x14ac:dyDescent="0.3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  <c r="L1985" t="str">
        <f>VLOOKUP(D1985, Products!A:C, 3, FALSE)</f>
        <v>Beauty</v>
      </c>
      <c r="M1985" t="str">
        <f>IFERROR(VLOOKUP(C1985, Customers!A:E, 5, FALSE), "Unknown")</f>
        <v>Corporate</v>
      </c>
      <c r="N1985" t="str">
        <f>VLOOKUP(E1985, Sales_Reps!A:C, 3, FALSE)</f>
        <v>East</v>
      </c>
      <c r="O1985">
        <f>VLOOKUP(D1985, Products!A:D, 4, FALSE)</f>
        <v>2768</v>
      </c>
      <c r="P1985">
        <f>IFERROR(VLOOKUP(C1985, Customers!A:C, 3, FALSE), 0)</f>
        <v>55</v>
      </c>
      <c r="Q1985">
        <f t="shared" si="30"/>
        <v>0.43278688524590164</v>
      </c>
    </row>
    <row r="1986" spans="1:17" x14ac:dyDescent="0.3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  <c r="L1986" t="str">
        <f>VLOOKUP(D1986, Products!A:C, 3, FALSE)</f>
        <v>Beauty</v>
      </c>
      <c r="M1986" t="str">
        <f>IFERROR(VLOOKUP(C1986, Customers!A:E, 5, FALSE), "Unknown")</f>
        <v>Retail</v>
      </c>
      <c r="N1986" t="str">
        <f>VLOOKUP(E1986, Sales_Reps!A:C, 3, FALSE)</f>
        <v>South</v>
      </c>
      <c r="O1986">
        <f>VLOOKUP(D1986, Products!A:D, 4, FALSE)</f>
        <v>1728</v>
      </c>
      <c r="P1986">
        <f>IFERROR(VLOOKUP(C1986, Customers!A:C, 3, FALSE), 0)</f>
        <v>36</v>
      </c>
      <c r="Q1986">
        <f t="shared" si="30"/>
        <v>0.48417910447761192</v>
      </c>
    </row>
    <row r="1987" spans="1:17" x14ac:dyDescent="0.3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  <c r="L1987" t="str">
        <f>VLOOKUP(D1987, Products!A:C, 3, FALSE)</f>
        <v>Apparel</v>
      </c>
      <c r="M1987" t="str">
        <f>IFERROR(VLOOKUP(C1987, Customers!A:E, 5, FALSE), "Unknown")</f>
        <v>Retail</v>
      </c>
      <c r="N1987" t="str">
        <f>VLOOKUP(E1987, Sales_Reps!A:C, 3, FALSE)</f>
        <v>East</v>
      </c>
      <c r="O1987">
        <f>VLOOKUP(D1987, Products!A:D, 4, FALSE)</f>
        <v>1173</v>
      </c>
      <c r="P1987">
        <f>IFERROR(VLOOKUP(C1987, Customers!A:C, 3, FALSE), 0)</f>
        <v>32</v>
      </c>
      <c r="Q1987">
        <f t="shared" ref="Q1987:Q2001" si="31">(G1987 - O1987) / G1987</f>
        <v>0.52701612903225803</v>
      </c>
    </row>
    <row r="1988" spans="1:17" x14ac:dyDescent="0.3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  <c r="L1988" t="str">
        <f>VLOOKUP(D1988, Products!A:C, 3, FALSE)</f>
        <v>Home</v>
      </c>
      <c r="M1988" t="str">
        <f>IFERROR(VLOOKUP(C1988, Customers!A:E, 5, FALSE), "Unknown")</f>
        <v>SMB</v>
      </c>
      <c r="N1988" t="str">
        <f>VLOOKUP(E1988, Sales_Reps!A:C, 3, FALSE)</f>
        <v>West</v>
      </c>
      <c r="O1988">
        <f>VLOOKUP(D1988, Products!A:D, 4, FALSE)</f>
        <v>1850</v>
      </c>
      <c r="P1988">
        <f>IFERROR(VLOOKUP(C1988, Customers!A:C, 3, FALSE), 0)</f>
        <v>64</v>
      </c>
      <c r="Q1988">
        <f t="shared" si="31"/>
        <v>0.59869848156182215</v>
      </c>
    </row>
    <row r="1989" spans="1:17" x14ac:dyDescent="0.3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  <c r="L1989" t="str">
        <f>VLOOKUP(D1989, Products!A:C, 3, FALSE)</f>
        <v>Grocery</v>
      </c>
      <c r="M1989" t="str">
        <f>IFERROR(VLOOKUP(C1989, Customers!A:E, 5, FALSE), "Unknown")</f>
        <v>Retail</v>
      </c>
      <c r="N1989" t="str">
        <f>VLOOKUP(E1989, Sales_Reps!A:C, 3, FALSE)</f>
        <v>North</v>
      </c>
      <c r="O1989">
        <f>VLOOKUP(D1989, Products!A:D, 4, FALSE)</f>
        <v>2436</v>
      </c>
      <c r="P1989">
        <f>IFERROR(VLOOKUP(C1989, Customers!A:C, 3, FALSE), 0)</f>
        <v>54</v>
      </c>
      <c r="Q1989">
        <f t="shared" si="31"/>
        <v>0.35555555555555557</v>
      </c>
    </row>
    <row r="1990" spans="1:17" x14ac:dyDescent="0.3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  <c r="L1990" t="str">
        <f>VLOOKUP(D1990, Products!A:C, 3, FALSE)</f>
        <v>Beauty</v>
      </c>
      <c r="M1990" t="str">
        <f>IFERROR(VLOOKUP(C1990, Customers!A:E, 5, FALSE), "Unknown")</f>
        <v>Retail</v>
      </c>
      <c r="N1990" t="str">
        <f>VLOOKUP(E1990, Sales_Reps!A:C, 3, FALSE)</f>
        <v>West</v>
      </c>
      <c r="O1990">
        <f>VLOOKUP(D1990, Products!A:D, 4, FALSE)</f>
        <v>1626</v>
      </c>
      <c r="P1990">
        <f>IFERROR(VLOOKUP(C1990, Customers!A:C, 3, FALSE), 0)</f>
        <v>53</v>
      </c>
      <c r="Q1990">
        <f t="shared" si="31"/>
        <v>0.46158940397350995</v>
      </c>
    </row>
    <row r="1991" spans="1:17" x14ac:dyDescent="0.3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  <c r="L1991" t="str">
        <f>VLOOKUP(D1991, Products!A:C, 3, FALSE)</f>
        <v>Home</v>
      </c>
      <c r="M1991" t="str">
        <f>IFERROR(VLOOKUP(C1991, Customers!A:E, 5, FALSE), "Unknown")</f>
        <v>Retail</v>
      </c>
      <c r="N1991" t="str">
        <f>VLOOKUP(E1991, Sales_Reps!A:C, 3, FALSE)</f>
        <v>North</v>
      </c>
      <c r="O1991">
        <f>VLOOKUP(D1991, Products!A:D, 4, FALSE)</f>
        <v>464</v>
      </c>
      <c r="P1991">
        <f>IFERROR(VLOOKUP(C1991, Customers!A:C, 3, FALSE), 0)</f>
        <v>32</v>
      </c>
      <c r="Q1991">
        <f t="shared" si="31"/>
        <v>0.57431192660550456</v>
      </c>
    </row>
    <row r="1992" spans="1:17" x14ac:dyDescent="0.3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  <c r="L1992" t="str">
        <f>VLOOKUP(D1992, Products!A:C, 3, FALSE)</f>
        <v>Beauty</v>
      </c>
      <c r="M1992" t="str">
        <f>IFERROR(VLOOKUP(C1992, Customers!A:E, 5, FALSE), "Unknown")</f>
        <v>Corporate</v>
      </c>
      <c r="N1992" t="str">
        <f>VLOOKUP(E1992, Sales_Reps!A:C, 3, FALSE)</f>
        <v>South</v>
      </c>
      <c r="O1992">
        <f>VLOOKUP(D1992, Products!A:D, 4, FALSE)</f>
        <v>2237</v>
      </c>
      <c r="P1992">
        <f>IFERROR(VLOOKUP(C1992, Customers!A:C, 3, FALSE), 0)</f>
        <v>31</v>
      </c>
      <c r="Q1992">
        <f t="shared" si="31"/>
        <v>0.56137254901960787</v>
      </c>
    </row>
    <row r="1993" spans="1:17" x14ac:dyDescent="0.3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  <c r="L1993" t="str">
        <f>VLOOKUP(D1993, Products!A:C, 3, FALSE)</f>
        <v>Beauty</v>
      </c>
      <c r="M1993" t="str">
        <f>IFERROR(VLOOKUP(C1993, Customers!A:E, 5, FALSE), "Unknown")</f>
        <v>SMB</v>
      </c>
      <c r="N1993" t="str">
        <f>VLOOKUP(E1993, Sales_Reps!A:C, 3, FALSE)</f>
        <v>North</v>
      </c>
      <c r="O1993">
        <f>VLOOKUP(D1993, Products!A:D, 4, FALSE)</f>
        <v>2768</v>
      </c>
      <c r="P1993">
        <f>IFERROR(VLOOKUP(C1993, Customers!A:C, 3, FALSE), 0)</f>
        <v>59</v>
      </c>
      <c r="Q1993">
        <f t="shared" si="31"/>
        <v>0.43278688524590164</v>
      </c>
    </row>
    <row r="1994" spans="1:17" x14ac:dyDescent="0.3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  <c r="L1994" t="str">
        <f>VLOOKUP(D1994, Products!A:C, 3, FALSE)</f>
        <v>Electronics</v>
      </c>
      <c r="M1994" t="str">
        <f>IFERROR(VLOOKUP(C1994, Customers!A:E, 5, FALSE), "Unknown")</f>
        <v>Retail</v>
      </c>
      <c r="N1994" t="str">
        <f>VLOOKUP(E1994, Sales_Reps!A:C, 3, FALSE)</f>
        <v>West</v>
      </c>
      <c r="O1994">
        <f>VLOOKUP(D1994, Products!A:D, 4, FALSE)</f>
        <v>2405</v>
      </c>
      <c r="P1994">
        <f>IFERROR(VLOOKUP(C1994, Customers!A:C, 3, FALSE), 0)</f>
        <v>65</v>
      </c>
      <c r="Q1994">
        <f t="shared" si="31"/>
        <v>0.54878048780487809</v>
      </c>
    </row>
    <row r="1995" spans="1:17" x14ac:dyDescent="0.3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  <c r="L1995" t="str">
        <f>VLOOKUP(D1995, Products!A:C, 3, FALSE)</f>
        <v>Home</v>
      </c>
      <c r="M1995" t="str">
        <f>IFERROR(VLOOKUP(C1995, Customers!A:E, 5, FALSE), "Unknown")</f>
        <v>SMB</v>
      </c>
      <c r="N1995" t="str">
        <f>VLOOKUP(E1995, Sales_Reps!A:C, 3, FALSE)</f>
        <v>West</v>
      </c>
      <c r="O1995">
        <f>VLOOKUP(D1995, Products!A:D, 4, FALSE)</f>
        <v>1143</v>
      </c>
      <c r="P1995">
        <f>IFERROR(VLOOKUP(C1995, Customers!A:C, 3, FALSE), 0)</f>
        <v>39</v>
      </c>
      <c r="Q1995">
        <f t="shared" si="31"/>
        <v>0.43694581280788175</v>
      </c>
    </row>
    <row r="1996" spans="1:17" x14ac:dyDescent="0.3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  <c r="L1996" t="str">
        <f>VLOOKUP(D1996, Products!A:C, 3, FALSE)</f>
        <v>Beauty</v>
      </c>
      <c r="M1996" t="str">
        <f>IFERROR(VLOOKUP(C1996, Customers!A:E, 5, FALSE), "Unknown")</f>
        <v>Retail</v>
      </c>
      <c r="N1996" t="str">
        <f>VLOOKUP(E1996, Sales_Reps!A:C, 3, FALSE)</f>
        <v>West</v>
      </c>
      <c r="O1996">
        <f>VLOOKUP(D1996, Products!A:D, 4, FALSE)</f>
        <v>1728</v>
      </c>
      <c r="P1996">
        <f>IFERROR(VLOOKUP(C1996, Customers!A:C, 3, FALSE), 0)</f>
        <v>42</v>
      </c>
      <c r="Q1996">
        <f t="shared" si="31"/>
        <v>0.48417910447761192</v>
      </c>
    </row>
    <row r="1997" spans="1:17" x14ac:dyDescent="0.3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  <c r="L1997" t="str">
        <f>VLOOKUP(D1997, Products!A:C, 3, FALSE)</f>
        <v>Home</v>
      </c>
      <c r="M1997" t="str">
        <f>IFERROR(VLOOKUP(C1997, Customers!A:E, 5, FALSE), "Unknown")</f>
        <v>Retail</v>
      </c>
      <c r="N1997" t="str">
        <f>VLOOKUP(E1997, Sales_Reps!A:C, 3, FALSE)</f>
        <v>South</v>
      </c>
      <c r="O1997">
        <f>VLOOKUP(D1997, Products!A:D, 4, FALSE)</f>
        <v>2135</v>
      </c>
      <c r="P1997">
        <f>IFERROR(VLOOKUP(C1997, Customers!A:C, 3, FALSE), 0)</f>
        <v>49</v>
      </c>
      <c r="Q1997">
        <f t="shared" si="31"/>
        <v>0.42761394101876676</v>
      </c>
    </row>
    <row r="1998" spans="1:17" x14ac:dyDescent="0.3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  <c r="L1998" t="str">
        <f>VLOOKUP(D1998, Products!A:C, 3, FALSE)</f>
        <v>Electronics</v>
      </c>
      <c r="M1998" t="str">
        <f>IFERROR(VLOOKUP(C1998, Customers!A:E, 5, FALSE), "Unknown")</f>
        <v>SMB</v>
      </c>
      <c r="N1998" t="str">
        <f>VLOOKUP(E1998, Sales_Reps!A:C, 3, FALSE)</f>
        <v>East</v>
      </c>
      <c r="O1998">
        <f>VLOOKUP(D1998, Products!A:D, 4, FALSE)</f>
        <v>2865</v>
      </c>
      <c r="P1998">
        <f>IFERROR(VLOOKUP(C1998, Customers!A:C, 3, FALSE), 0)</f>
        <v>24</v>
      </c>
      <c r="Q1998">
        <f t="shared" si="31"/>
        <v>0.27833753148614609</v>
      </c>
    </row>
    <row r="1999" spans="1:17" x14ac:dyDescent="0.3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  <c r="L1999" t="str">
        <f>VLOOKUP(D1999, Products!A:C, 3, FALSE)</f>
        <v>Grocery</v>
      </c>
      <c r="M1999" t="str">
        <f>IFERROR(VLOOKUP(C1999, Customers!A:E, 5, FALSE), "Unknown")</f>
        <v>Corporate</v>
      </c>
      <c r="N1999" t="str">
        <f>VLOOKUP(E1999, Sales_Reps!A:C, 3, FALSE)</f>
        <v>South</v>
      </c>
      <c r="O1999">
        <f>VLOOKUP(D1999, Products!A:D, 4, FALSE)</f>
        <v>1010</v>
      </c>
      <c r="P1999">
        <f>IFERROR(VLOOKUP(C1999, Customers!A:C, 3, FALSE), 0)</f>
        <v>43</v>
      </c>
      <c r="Q1999">
        <f t="shared" si="31"/>
        <v>0.54298642533936647</v>
      </c>
    </row>
    <row r="2000" spans="1:17" x14ac:dyDescent="0.3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  <c r="L2000" t="str">
        <f>VLOOKUP(D2000, Products!A:C, 3, FALSE)</f>
        <v>Sports</v>
      </c>
      <c r="M2000" t="str">
        <f>IFERROR(VLOOKUP(C2000, Customers!A:E, 5, FALSE), "Unknown")</f>
        <v>Retail</v>
      </c>
      <c r="N2000" t="str">
        <f>VLOOKUP(E2000, Sales_Reps!A:C, 3, FALSE)</f>
        <v>North</v>
      </c>
      <c r="O2000">
        <f>VLOOKUP(D2000, Products!A:D, 4, FALSE)</f>
        <v>2265</v>
      </c>
      <c r="P2000">
        <f>IFERROR(VLOOKUP(C2000, Customers!A:C, 3, FALSE), 0)</f>
        <v>43</v>
      </c>
      <c r="Q2000">
        <f t="shared" si="31"/>
        <v>0.58133086876155271</v>
      </c>
    </row>
    <row r="2001" spans="1:17" x14ac:dyDescent="0.3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  <c r="L2001" t="str">
        <f>VLOOKUP(D2001, Products!A:C, 3, FALSE)</f>
        <v>Home</v>
      </c>
      <c r="M2001" t="str">
        <f>IFERROR(VLOOKUP(C2001, Customers!A:E, 5, FALSE), "Unknown")</f>
        <v>Retail</v>
      </c>
      <c r="N2001" t="str">
        <f>VLOOKUP(E2001, Sales_Reps!A:C, 3, FALSE)</f>
        <v>East</v>
      </c>
      <c r="O2001">
        <f>VLOOKUP(D2001, Products!A:D, 4, FALSE)</f>
        <v>2459</v>
      </c>
      <c r="P2001">
        <f>IFERROR(VLOOKUP(C2001, Customers!A:C, 3, FALSE), 0)</f>
        <v>49</v>
      </c>
      <c r="Q2001">
        <f t="shared" si="31"/>
        <v>0.51594488188976373</v>
      </c>
    </row>
  </sheetData>
  <pageMargins left="0.75" right="0.75" top="1" bottom="1" header="0.5" footer="0.5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3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3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3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3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3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3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3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3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3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3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3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3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3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3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3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3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3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3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3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3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3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3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3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3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3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3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3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3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3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3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3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3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3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3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3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3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3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3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3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3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3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3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3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3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3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3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3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3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3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3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3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3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3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3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3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3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3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3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3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3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3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3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3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3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3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3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G31"/>
  <sheetViews>
    <sheetView workbookViewId="0">
      <pane ySplit="1" topLeftCell="A2" activePane="bottomLeft" state="frozen"/>
      <selection pane="bottomLeft" activeCell="H25" sqref="H25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7" x14ac:dyDescent="0.3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  <c r="F1" t="s">
        <v>3028</v>
      </c>
      <c r="G1" t="s">
        <v>3029</v>
      </c>
    </row>
    <row r="2" spans="1:7" x14ac:dyDescent="0.3">
      <c r="A2" s="13" t="s">
        <v>215</v>
      </c>
      <c r="B2" s="13" t="s">
        <v>2854</v>
      </c>
      <c r="C2" s="13" t="s">
        <v>2855</v>
      </c>
      <c r="D2" s="14">
        <v>44207</v>
      </c>
      <c r="E2" s="13"/>
      <c r="F2">
        <f>SUMIFS(Orders!I:I, Orders!E:E, A2)</f>
        <v>789849.60000000009</v>
      </c>
      <c r="G2">
        <f>_xlfn.RANK.EQ(F2, $F$2:$F$31)</f>
        <v>23</v>
      </c>
    </row>
    <row r="3" spans="1:7" x14ac:dyDescent="0.3">
      <c r="A3" s="13" t="s">
        <v>297</v>
      </c>
      <c r="B3" s="13" t="s">
        <v>2856</v>
      </c>
      <c r="C3" s="13" t="s">
        <v>2855</v>
      </c>
      <c r="D3" s="14">
        <v>44028</v>
      </c>
      <c r="E3" s="13"/>
      <c r="F3">
        <f>SUMIFS(Orders!I:I, Orders!E:E, A3)</f>
        <v>980063.65999999968</v>
      </c>
      <c r="G3">
        <f t="shared" ref="G3:G31" si="0">_xlfn.RANK.EQ(F3, $F$2:$F$31)</f>
        <v>9</v>
      </c>
    </row>
    <row r="4" spans="1:7" x14ac:dyDescent="0.3">
      <c r="A4" s="13" t="s">
        <v>148</v>
      </c>
      <c r="B4" s="13" t="s">
        <v>2857</v>
      </c>
      <c r="C4" s="13" t="s">
        <v>2855</v>
      </c>
      <c r="D4" s="14">
        <v>43651</v>
      </c>
      <c r="E4" s="13"/>
      <c r="F4">
        <f>SUMIFS(Orders!I:I, Orders!E:E, A4)</f>
        <v>986692.91</v>
      </c>
      <c r="G4">
        <f t="shared" si="0"/>
        <v>7</v>
      </c>
    </row>
    <row r="5" spans="1:7" x14ac:dyDescent="0.3">
      <c r="A5" s="13" t="s">
        <v>139</v>
      </c>
      <c r="B5" s="13" t="s">
        <v>2858</v>
      </c>
      <c r="C5" s="13" t="s">
        <v>2855</v>
      </c>
      <c r="D5" s="14">
        <v>44907</v>
      </c>
      <c r="E5" s="13"/>
      <c r="F5">
        <f>SUMIFS(Orders!I:I, Orders!E:E, A5)</f>
        <v>589026.2899999998</v>
      </c>
      <c r="G5">
        <f t="shared" si="0"/>
        <v>29</v>
      </c>
    </row>
    <row r="6" spans="1:7" x14ac:dyDescent="0.3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  <c r="F6">
        <f>SUMIFS(Orders!I:I, Orders!E:E, A6)</f>
        <v>782445.33</v>
      </c>
      <c r="G6">
        <f t="shared" si="0"/>
        <v>24</v>
      </c>
    </row>
    <row r="7" spans="1:7" x14ac:dyDescent="0.3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  <c r="F7">
        <f>SUMIFS(Orders!I:I, Orders!E:E, A7)</f>
        <v>1138648.73</v>
      </c>
      <c r="G7">
        <f t="shared" si="0"/>
        <v>1</v>
      </c>
    </row>
    <row r="8" spans="1:7" x14ac:dyDescent="0.3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  <c r="F8">
        <f>SUMIFS(Orders!I:I, Orders!E:E, A8)</f>
        <v>855749.67999999982</v>
      </c>
      <c r="G8">
        <f t="shared" si="0"/>
        <v>19</v>
      </c>
    </row>
    <row r="9" spans="1:7" x14ac:dyDescent="0.3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  <c r="F9">
        <f>SUMIFS(Orders!I:I, Orders!E:E, A9)</f>
        <v>861553.33</v>
      </c>
      <c r="G9">
        <f t="shared" si="0"/>
        <v>18</v>
      </c>
    </row>
    <row r="10" spans="1:7" x14ac:dyDescent="0.3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  <c r="F10">
        <f>SUMIFS(Orders!I:I, Orders!E:E, A10)</f>
        <v>914554.71999999986</v>
      </c>
      <c r="G10">
        <f t="shared" si="0"/>
        <v>12</v>
      </c>
    </row>
    <row r="11" spans="1:7" x14ac:dyDescent="0.3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  <c r="F11">
        <f>SUMIFS(Orders!I:I, Orders!E:E, A11)</f>
        <v>880345.20000000007</v>
      </c>
      <c r="G11">
        <f t="shared" si="0"/>
        <v>17</v>
      </c>
    </row>
    <row r="12" spans="1:7" x14ac:dyDescent="0.3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  <c r="F12">
        <f>SUMIFS(Orders!I:I, Orders!E:E, A12)</f>
        <v>735207.75999999989</v>
      </c>
      <c r="G12">
        <f t="shared" si="0"/>
        <v>28</v>
      </c>
    </row>
    <row r="13" spans="1:7" x14ac:dyDescent="0.3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  <c r="F13">
        <f>SUMIFS(Orders!I:I, Orders!E:E, A13)</f>
        <v>901394.32000000007</v>
      </c>
      <c r="G13">
        <f t="shared" si="0"/>
        <v>14</v>
      </c>
    </row>
    <row r="14" spans="1:7" x14ac:dyDescent="0.3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  <c r="F14">
        <f>SUMIFS(Orders!I:I, Orders!E:E, A14)</f>
        <v>811524.37999999989</v>
      </c>
      <c r="G14">
        <f t="shared" si="0"/>
        <v>22</v>
      </c>
    </row>
    <row r="15" spans="1:7" x14ac:dyDescent="0.3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  <c r="F15">
        <f>SUMIFS(Orders!I:I, Orders!E:E, A15)</f>
        <v>995713.54000000015</v>
      </c>
      <c r="G15">
        <f t="shared" si="0"/>
        <v>6</v>
      </c>
    </row>
    <row r="16" spans="1:7" x14ac:dyDescent="0.3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  <c r="F16">
        <f>SUMIFS(Orders!I:I, Orders!E:E, A16)</f>
        <v>1091740.1799999997</v>
      </c>
      <c r="G16">
        <f t="shared" si="0"/>
        <v>3</v>
      </c>
    </row>
    <row r="17" spans="1:7" x14ac:dyDescent="0.3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  <c r="F17">
        <f>SUMIFS(Orders!I:I, Orders!E:E, A17)</f>
        <v>814563.7100000002</v>
      </c>
      <c r="G17">
        <f t="shared" si="0"/>
        <v>21</v>
      </c>
    </row>
    <row r="18" spans="1:7" x14ac:dyDescent="0.3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  <c r="F18">
        <f>SUMIFS(Orders!I:I, Orders!E:E, A18)</f>
        <v>780384.40999999992</v>
      </c>
      <c r="G18">
        <f t="shared" si="0"/>
        <v>25</v>
      </c>
    </row>
    <row r="19" spans="1:7" x14ac:dyDescent="0.3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  <c r="F19">
        <f>SUMIFS(Orders!I:I, Orders!E:E, A19)</f>
        <v>1112289.6400000001</v>
      </c>
      <c r="G19">
        <f t="shared" si="0"/>
        <v>2</v>
      </c>
    </row>
    <row r="20" spans="1:7" x14ac:dyDescent="0.3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  <c r="F20">
        <f>SUMIFS(Orders!I:I, Orders!E:E, A20)</f>
        <v>971183.52000000014</v>
      </c>
      <c r="G20">
        <f t="shared" si="0"/>
        <v>10</v>
      </c>
    </row>
    <row r="21" spans="1:7" x14ac:dyDescent="0.3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  <c r="F21">
        <f>SUMIFS(Orders!I:I, Orders!E:E, A21)</f>
        <v>906107.71000000008</v>
      </c>
      <c r="G21">
        <f t="shared" si="0"/>
        <v>13</v>
      </c>
    </row>
    <row r="22" spans="1:7" x14ac:dyDescent="0.3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  <c r="F22">
        <f>SUMIFS(Orders!I:I, Orders!E:E, A22)</f>
        <v>761507.17000000027</v>
      </c>
      <c r="G22">
        <f t="shared" si="0"/>
        <v>26</v>
      </c>
    </row>
    <row r="23" spans="1:7" x14ac:dyDescent="0.3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  <c r="F23">
        <f>SUMIFS(Orders!I:I, Orders!E:E, A23)</f>
        <v>1069570.5400000003</v>
      </c>
      <c r="G23">
        <f t="shared" si="0"/>
        <v>4</v>
      </c>
    </row>
    <row r="24" spans="1:7" x14ac:dyDescent="0.3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  <c r="F24">
        <f>SUMIFS(Orders!I:I, Orders!E:E, A24)</f>
        <v>983787.4800000001</v>
      </c>
      <c r="G24">
        <f t="shared" si="0"/>
        <v>8</v>
      </c>
    </row>
    <row r="25" spans="1:7" x14ac:dyDescent="0.3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  <c r="F25">
        <f>SUMIFS(Orders!I:I, Orders!E:E, A25)</f>
        <v>819558.58</v>
      </c>
      <c r="G25">
        <f t="shared" si="0"/>
        <v>20</v>
      </c>
    </row>
    <row r="26" spans="1:7" x14ac:dyDescent="0.3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  <c r="F26">
        <f>SUMIFS(Orders!I:I, Orders!E:E, A26)</f>
        <v>901298.89</v>
      </c>
      <c r="G26">
        <f t="shared" si="0"/>
        <v>15</v>
      </c>
    </row>
    <row r="27" spans="1:7" x14ac:dyDescent="0.3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  <c r="F27">
        <f>SUMIFS(Orders!I:I, Orders!E:E, A27)</f>
        <v>576305.08000000019</v>
      </c>
      <c r="G27">
        <f t="shared" si="0"/>
        <v>30</v>
      </c>
    </row>
    <row r="28" spans="1:7" x14ac:dyDescent="0.3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  <c r="F28">
        <f>SUMIFS(Orders!I:I, Orders!E:E, A28)</f>
        <v>917092.61999999965</v>
      </c>
      <c r="G28">
        <f t="shared" si="0"/>
        <v>11</v>
      </c>
    </row>
    <row r="29" spans="1:7" x14ac:dyDescent="0.3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  <c r="F29">
        <f>SUMIFS(Orders!I:I, Orders!E:E, A29)</f>
        <v>880468.05</v>
      </c>
      <c r="G29">
        <f t="shared" si="0"/>
        <v>16</v>
      </c>
    </row>
    <row r="30" spans="1:7" x14ac:dyDescent="0.3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  <c r="F30">
        <f>SUMIFS(Orders!I:I, Orders!E:E, A30)</f>
        <v>1016696.8000000002</v>
      </c>
      <c r="G30">
        <f t="shared" si="0"/>
        <v>5</v>
      </c>
    </row>
    <row r="31" spans="1:7" x14ac:dyDescent="0.3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  <c r="F31">
        <f>SUMIFS(Orders!I:I, Orders!E:E, A31)</f>
        <v>747624.36999999988</v>
      </c>
      <c r="G31">
        <f t="shared" si="0"/>
        <v>27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7" activePane="bottomLeft" state="frozen"/>
      <selection pane="bottomLeft" activeCell="E12" sqref="E12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40" t="s">
        <v>3020</v>
      </c>
      <c r="B1" s="39"/>
      <c r="C1" s="39"/>
      <c r="D1" s="39"/>
      <c r="E1" s="39"/>
      <c r="F1" s="39"/>
    </row>
    <row r="2" spans="1:6" x14ac:dyDescent="0.3">
      <c r="A2" s="38" t="s">
        <v>2898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2904</v>
      </c>
      <c r="B5" s="28" t="s">
        <v>2905</v>
      </c>
      <c r="C5" s="29">
        <v>3</v>
      </c>
      <c r="D5" s="30" t="s">
        <v>2906</v>
      </c>
      <c r="E5" s="31" t="str">
        <f>VLOOKUP("ORD-00234", Orders!A:K, 3, FALSE)</f>
        <v>CUST-0173</v>
      </c>
      <c r="F5" s="32" t="s">
        <v>2907</v>
      </c>
    </row>
    <row r="6" spans="1:6" ht="42" customHeight="1" x14ac:dyDescent="0.3">
      <c r="A6" s="27" t="s">
        <v>2908</v>
      </c>
      <c r="B6" s="28" t="s">
        <v>2909</v>
      </c>
      <c r="C6" s="29">
        <v>3</v>
      </c>
      <c r="D6" s="30" t="s">
        <v>2910</v>
      </c>
      <c r="E6" s="31" t="str">
        <f>VLOOKUP(VLOOKUP("ORD-00456", Orders!A:K, 4, FALSE), Products!A:B, 2, FALSE)</f>
        <v>Dumbbells 5kg</v>
      </c>
      <c r="F6" s="32" t="s">
        <v>2911</v>
      </c>
    </row>
    <row r="7" spans="1:6" ht="42" customHeight="1" x14ac:dyDescent="0.3">
      <c r="A7" s="27" t="s">
        <v>2912</v>
      </c>
      <c r="B7" s="28" t="s">
        <v>2913</v>
      </c>
      <c r="C7" s="29">
        <v>3</v>
      </c>
      <c r="D7" s="30" t="s">
        <v>3014</v>
      </c>
      <c r="E7" s="31" t="str">
        <f>INDEX(Sales_Reps!B:B, MATCH(VLOOKUP("ORD-00987", Orders!A:K, 5, FALSE), Sales_Reps!A:A, 0))</f>
        <v>Nisha Menon</v>
      </c>
      <c r="F7" s="32" t="s">
        <v>2911</v>
      </c>
    </row>
    <row r="8" spans="1:6" ht="42" customHeight="1" x14ac:dyDescent="0.3">
      <c r="A8" s="27" t="s">
        <v>2914</v>
      </c>
      <c r="B8" s="28" t="s">
        <v>2915</v>
      </c>
      <c r="C8" s="29">
        <v>4</v>
      </c>
      <c r="D8" s="30" t="s">
        <v>2916</v>
      </c>
      <c r="E8" s="31">
        <f>INDEX(Targets!A1:M31, MATCH("R012", Targets!A:A, 0), MATCH("Mar-24", Targets!1:1, 0))</f>
        <v>321255</v>
      </c>
      <c r="F8" s="32" t="s">
        <v>2917</v>
      </c>
    </row>
    <row r="9" spans="1:6" ht="42" customHeight="1" x14ac:dyDescent="0.3">
      <c r="A9" s="27" t="s">
        <v>2918</v>
      </c>
      <c r="B9" s="28" t="s">
        <v>2919</v>
      </c>
      <c r="C9" s="29">
        <v>4</v>
      </c>
      <c r="D9" s="30" t="s">
        <v>2920</v>
      </c>
      <c r="E9" s="31" t="str">
        <f>VLOOKUP(VLOOKUP("ORD-01500", Orders!A:K, 4, FALSE), Products!A:C, 3, FALSE)</f>
        <v>Electronics</v>
      </c>
      <c r="F9" s="32" t="s">
        <v>2911</v>
      </c>
    </row>
    <row r="10" spans="1:6" ht="42" customHeight="1" x14ac:dyDescent="0.3">
      <c r="A10" s="27" t="s">
        <v>2921</v>
      </c>
      <c r="B10" s="28" t="s">
        <v>2922</v>
      </c>
      <c r="C10" s="29">
        <v>3</v>
      </c>
      <c r="D10" s="30" t="s">
        <v>2923</v>
      </c>
      <c r="E10" s="31" t="str">
        <f>VLOOKUP(VLOOKUP("ORD-00789", Orders!A:K, 8, FALSE), B17:C20, 2, TRUE)</f>
        <v>Bronze</v>
      </c>
      <c r="F10" s="32" t="s">
        <v>2911</v>
      </c>
    </row>
    <row r="11" spans="1:6" ht="42" customHeight="1" x14ac:dyDescent="0.3">
      <c r="A11" s="27" t="s">
        <v>2924</v>
      </c>
      <c r="B11" s="28" t="s">
        <v>3015</v>
      </c>
      <c r="C11" s="29">
        <v>3</v>
      </c>
      <c r="D11" s="30" t="s">
        <v>2925</v>
      </c>
      <c r="E11" s="31" t="str">
        <f>VLOOKUP(VLOOKUP("ORD-01234", Orders!A:K, 5, FALSE), Sales_Reps!A:E, 2, FALSE) &amp; " (" &amp; VLOOKUP(VLOOKUP("ORD-01234", Orders!A:K, 5, FALSE), Sales_Reps!A:E, 3, FALSE) &amp; ")"</f>
        <v>Sanjay Kapoor (South)</v>
      </c>
      <c r="F11" s="32" t="s">
        <v>2911</v>
      </c>
    </row>
    <row r="12" spans="1:6" ht="42" customHeight="1" x14ac:dyDescent="0.3">
      <c r="A12" s="27" t="s">
        <v>2926</v>
      </c>
      <c r="B12" s="28" t="s">
        <v>3016</v>
      </c>
      <c r="C12" s="29">
        <v>2</v>
      </c>
      <c r="D12" s="30" t="s">
        <v>2927</v>
      </c>
      <c r="E12" s="31" t="str">
        <f>VLOOKUP(VLOOKUP("R017", Sales_Reps!A:E, 5, FALSE), Sales_Reps!A:B, 2, FALSE)</f>
        <v>Amit Singh</v>
      </c>
      <c r="F12" s="32" t="s">
        <v>2911</v>
      </c>
    </row>
    <row r="15" spans="1:6" x14ac:dyDescent="0.3">
      <c r="B15" s="22" t="s">
        <v>2928</v>
      </c>
    </row>
    <row r="17" spans="2:3" x14ac:dyDescent="0.3">
      <c r="B17" s="23" t="s">
        <v>2929</v>
      </c>
      <c r="C17" s="23" t="s">
        <v>2930</v>
      </c>
    </row>
    <row r="18" spans="2:3" x14ac:dyDescent="0.3">
      <c r="B18" s="24">
        <v>0</v>
      </c>
      <c r="C18" s="24" t="s">
        <v>2931</v>
      </c>
    </row>
    <row r="19" spans="2:3" x14ac:dyDescent="0.3">
      <c r="B19" s="24">
        <v>5</v>
      </c>
      <c r="C19" s="24" t="s">
        <v>2932</v>
      </c>
    </row>
    <row r="20" spans="2:3" x14ac:dyDescent="0.3">
      <c r="B20" s="24">
        <v>15</v>
      </c>
      <c r="C20" s="24" t="s">
        <v>2933</v>
      </c>
    </row>
    <row r="21" spans="2:3" x14ac:dyDescent="0.3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tabSelected="1" topLeftCell="B1"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0" t="s">
        <v>3021</v>
      </c>
      <c r="B1" s="39"/>
      <c r="C1" s="39"/>
      <c r="D1" s="39"/>
      <c r="E1" s="39"/>
      <c r="F1" s="39"/>
    </row>
    <row r="2" spans="1:6" x14ac:dyDescent="0.3">
      <c r="A2" s="38" t="s">
        <v>2935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2936</v>
      </c>
      <c r="B5" s="28" t="s">
        <v>2937</v>
      </c>
      <c r="C5" s="29">
        <v>3</v>
      </c>
      <c r="D5" s="30" t="s">
        <v>3018</v>
      </c>
      <c r="E5" s="31">
        <f>ROWS(Orders!A2:A2001)-COUNTA(_xlfn.UNIQUE(Orders!A2:A2001))</f>
        <v>20</v>
      </c>
      <c r="F5" s="32" t="s">
        <v>2917</v>
      </c>
    </row>
    <row r="6" spans="1:6" ht="42" customHeight="1" x14ac:dyDescent="0.3">
      <c r="A6" s="27" t="s">
        <v>2938</v>
      </c>
      <c r="B6" s="28" t="s">
        <v>2939</v>
      </c>
      <c r="C6" s="29">
        <v>3</v>
      </c>
      <c r="D6" s="30" t="s">
        <v>2940</v>
      </c>
      <c r="E6" s="31" cm="1">
        <f t="array" ref="E6">SUMPRODUCT(--(LEN(Customers!B2:B301)&lt;&gt;LEN(TRIM(Customers!B2:B301))))</f>
        <v>15</v>
      </c>
      <c r="F6" s="32" t="s">
        <v>2917</v>
      </c>
    </row>
    <row r="7" spans="1:6" ht="42" customHeight="1" x14ac:dyDescent="0.3">
      <c r="A7" s="27" t="s">
        <v>2941</v>
      </c>
      <c r="B7" s="28" t="s">
        <v>2942</v>
      </c>
      <c r="C7" s="29">
        <v>3</v>
      </c>
      <c r="D7" s="30" t="s">
        <v>2943</v>
      </c>
      <c r="E7" s="31" cm="1">
        <f t="array" ref="E7">COUNTA(_xlfn.UNIQUE(PROPER(TRIM(Customers!D2:D301))))</f>
        <v>6</v>
      </c>
      <c r="F7" s="32" t="s">
        <v>2917</v>
      </c>
    </row>
    <row r="8" spans="1:6" ht="42" customHeight="1" x14ac:dyDescent="0.3">
      <c r="A8" s="27" t="s">
        <v>2944</v>
      </c>
      <c r="B8" s="28" t="s">
        <v>2945</v>
      </c>
      <c r="C8" s="29">
        <v>4</v>
      </c>
      <c r="D8" s="30" t="s">
        <v>2946</v>
      </c>
      <c r="E8" s="31" cm="1">
        <f t="array" ref="E8">SUMPRODUCT(--(ISNA(MATCH(Orders!C2:C2001, Customers!A2:A301, 0))))</f>
        <v>30</v>
      </c>
      <c r="F8" s="32" t="s">
        <v>2917</v>
      </c>
    </row>
    <row r="9" spans="1:6" ht="42" customHeight="1" x14ac:dyDescent="0.3">
      <c r="A9" s="27" t="s">
        <v>2947</v>
      </c>
      <c r="B9" s="28" t="s">
        <v>2948</v>
      </c>
      <c r="C9" s="29">
        <v>3</v>
      </c>
      <c r="D9" s="30" t="s">
        <v>2949</v>
      </c>
      <c r="E9" s="31" cm="1">
        <f t="array" ref="E9">SUMPRODUCT(--(VLOOKUP(Orders!D2:D2001, Products!A:F, 6, FALSE)=FALSE))</f>
        <v>174</v>
      </c>
      <c r="F9" s="32" t="s">
        <v>2917</v>
      </c>
    </row>
    <row r="10" spans="1:6" ht="42" customHeight="1" x14ac:dyDescent="0.3">
      <c r="A10" s="27" t="s">
        <v>2950</v>
      </c>
      <c r="B10" s="28" t="s">
        <v>3017</v>
      </c>
      <c r="C10" s="29">
        <v>4</v>
      </c>
      <c r="D10" s="30" t="s">
        <v>2951</v>
      </c>
      <c r="E10" s="31">
        <f>COUNTIFS(Orders!J2:J2001, "Cancelled", Orders!H2:H2001, "&gt;20")</f>
        <v>58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topLeftCell="B1" zoomScale="96" zoomScaleNormal="85" workbookViewId="0">
      <pane ySplit="4" topLeftCell="A6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3022</v>
      </c>
      <c r="B1" s="34"/>
      <c r="C1" s="34"/>
      <c r="D1" s="34"/>
      <c r="E1" s="34"/>
      <c r="F1" s="34"/>
    </row>
    <row r="2" spans="1:6" x14ac:dyDescent="0.3">
      <c r="A2" s="38" t="e" cm="1">
        <f t="array" ref="A2">B10:F29SUMIFS · COUNTIFS · AVERAGEIFS · Nested IF logic · Multi-sheet aggregation · Top-N logic</f>
        <v>#NAME?</v>
      </c>
      <c r="B2" s="39"/>
      <c r="C2" s="39"/>
      <c r="D2" s="39"/>
      <c r="E2" s="39"/>
      <c r="F2" s="39"/>
    </row>
    <row r="3" spans="1:6" ht="19.2" customHeight="1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2952</v>
      </c>
      <c r="B5" s="28" t="s">
        <v>2953</v>
      </c>
      <c r="C5" s="29">
        <v>4</v>
      </c>
      <c r="D5" s="30" t="s">
        <v>2954</v>
      </c>
      <c r="E5" s="31">
        <f>SUMIFS(Orders!I:I, Orders!B:B, "&gt;=2024-07-01", Orders!B:B, "&lt;=2024-09-30", Orders!K:K, "Mumbai")</f>
        <v>1217239.0099999998</v>
      </c>
      <c r="F5" s="32" t="s">
        <v>2955</v>
      </c>
    </row>
    <row r="6" spans="1:6" ht="42" customHeight="1" x14ac:dyDescent="0.3">
      <c r="A6" s="27" t="s">
        <v>2956</v>
      </c>
      <c r="B6" s="28" t="s">
        <v>2957</v>
      </c>
      <c r="C6" s="29">
        <v>3</v>
      </c>
      <c r="D6" s="30" t="s">
        <v>2958</v>
      </c>
      <c r="E6" s="31">
        <f>COUNTIFS(Orders!H:H, "&gt;15", Orders!J:J, "Completed")</f>
        <v>723</v>
      </c>
      <c r="F6" s="32" t="s">
        <v>2917</v>
      </c>
    </row>
    <row r="7" spans="1:6" ht="42" customHeight="1" x14ac:dyDescent="0.3">
      <c r="A7" s="27" t="s">
        <v>2959</v>
      </c>
      <c r="B7" s="28" t="s">
        <v>3019</v>
      </c>
      <c r="C7" s="29">
        <v>5</v>
      </c>
      <c r="D7" s="30" t="s">
        <v>2960</v>
      </c>
      <c r="E7" s="31">
        <f>AVERAGEIFS(Orders!I:I, Orders!L:L, "Electronics", Orders!M:M, "Corporate")</f>
        <v>13981.401558441557</v>
      </c>
      <c r="F7" s="32" t="s">
        <v>2955</v>
      </c>
    </row>
    <row r="8" spans="1:6" ht="42" customHeight="1" x14ac:dyDescent="0.3">
      <c r="A8" s="27" t="s">
        <v>2961</v>
      </c>
      <c r="B8" s="28" t="s">
        <v>2962</v>
      </c>
      <c r="C8" s="29">
        <v>4</v>
      </c>
      <c r="D8" s="30" t="s">
        <v>2963</v>
      </c>
      <c r="E8" s="31" cm="1">
        <f t="array" ref="E8">SUM(LARGE(SUMIF(Orders!E:E, Sales_Reps!A2:A31, Orders!I:I), {1,2,3}))</f>
        <v>3342678.55</v>
      </c>
      <c r="F8" s="32" t="s">
        <v>2955</v>
      </c>
    </row>
    <row r="9" spans="1:6" ht="42" customHeight="1" x14ac:dyDescent="0.3">
      <c r="A9" s="27" t="s">
        <v>2964</v>
      </c>
      <c r="B9" s="28" t="s">
        <v>2965</v>
      </c>
      <c r="C9" s="29">
        <v>5</v>
      </c>
      <c r="D9" s="30" t="s">
        <v>2966</v>
      </c>
      <c r="E9" s="31" t="str" cm="1">
        <f t="array" ref="E9">_xlfn.IFS((SUMIFS(Orders!I:I, Orders!E:E, "R015", Orders!B:B, "&gt;=2024-11-01", Orders!B:B, "&lt;=2024-11-30") / VLOOKUP("R015", Targets!A:M, 12, FALSE)) &lt; 0.8, "Below", (SUMIFS(Orders!I:I, Orders!E:E, "R015", Orders!B:B, "&gt;=2024-11-01", Orders!B:B, "&lt;=2024-11-30") / VLOOKUP("R015", Targets!A:M, 12, FALSE)) &lt;= 1.2, "On Track", TRUE, "Exceeds")</f>
        <v>Below</v>
      </c>
      <c r="F9" s="32" t="s">
        <v>2911</v>
      </c>
    </row>
    <row r="10" spans="1:6" ht="42" customHeight="1" x14ac:dyDescent="0.3">
      <c r="A10" s="27" t="s">
        <v>2967</v>
      </c>
      <c r="B10" s="28" t="s">
        <v>2968</v>
      </c>
      <c r="C10" s="29">
        <v>4</v>
      </c>
      <c r="D10" s="30" t="s">
        <v>2969</v>
      </c>
      <c r="E10" s="31">
        <f>SUMIFS(Orders!I:I, Orders!M:M, "Corporate", Orders!P:P, "&gt;=30", Orders!P:P, "&lt;=40")</f>
        <v>982568.40000000014</v>
      </c>
      <c r="F10" s="32" t="s">
        <v>2955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topLeftCell="B1" workbookViewId="0">
      <pane ySplit="4" topLeftCell="A5" activePane="bottomLeft" state="frozen"/>
      <selection pane="bottomLeft" activeCell="E9" sqref="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3023</v>
      </c>
      <c r="B1" s="34"/>
      <c r="C1" s="34"/>
      <c r="D1" s="34"/>
      <c r="E1" s="34"/>
      <c r="F1" s="34"/>
    </row>
    <row r="2" spans="1:6" x14ac:dyDescent="0.3">
      <c r="A2" s="33" t="s">
        <v>2970</v>
      </c>
      <c r="B2" s="34"/>
      <c r="C2" s="34"/>
      <c r="D2" s="34"/>
      <c r="E2" s="34"/>
      <c r="F2" s="34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2971</v>
      </c>
      <c r="B5" s="17" t="s">
        <v>2972</v>
      </c>
      <c r="C5" s="18">
        <v>4</v>
      </c>
      <c r="D5" s="19" t="s">
        <v>2973</v>
      </c>
      <c r="E5" s="20">
        <f>SUMIFS(Orders!I:I, Orders!N:N, "South", Orders!L:L, "Electronics")</f>
        <v>1314107.3899999999</v>
      </c>
      <c r="F5" s="21" t="s">
        <v>2955</v>
      </c>
    </row>
    <row r="6" spans="1:6" ht="42" customHeight="1" x14ac:dyDescent="0.3">
      <c r="A6" s="16" t="s">
        <v>2974</v>
      </c>
      <c r="B6" s="17" t="s">
        <v>2975</v>
      </c>
      <c r="C6" s="18">
        <v>4</v>
      </c>
      <c r="D6" s="19" t="s">
        <v>2976</v>
      </c>
      <c r="E6" s="20">
        <v>216421.52</v>
      </c>
      <c r="F6" s="21" t="s">
        <v>2955</v>
      </c>
    </row>
    <row r="7" spans="1:6" ht="42" customHeight="1" x14ac:dyDescent="0.3">
      <c r="A7" s="16" t="s">
        <v>2977</v>
      </c>
      <c r="B7" s="17" t="s">
        <v>2978</v>
      </c>
      <c r="C7" s="18">
        <v>4</v>
      </c>
      <c r="D7" s="19" t="s">
        <v>2979</v>
      </c>
      <c r="E7" s="20">
        <f>SUMIFS(Orders!$I$2:$I$2001, Orders!$N$2:$N$2001, "North", Orders!$L$2:$L$2001, "Apparel") / SUMIFS(Orders!$I$2:$I$2001, Orders!$N$2:$N$2001, "North")</f>
        <v>0.14023150471988341</v>
      </c>
      <c r="F7" s="21" t="s">
        <v>2980</v>
      </c>
    </row>
    <row r="8" spans="1:6" ht="42" customHeight="1" x14ac:dyDescent="0.3">
      <c r="A8" s="16" t="s">
        <v>2981</v>
      </c>
      <c r="B8" s="17" t="s">
        <v>2982</v>
      </c>
      <c r="C8" s="18">
        <v>4</v>
      </c>
      <c r="D8" s="19" t="s">
        <v>2983</v>
      </c>
      <c r="E8" s="20">
        <f>SUMIFS(Orders!I:I, Orders!B:B, "&gt;=2024-10-01", Orders!B:B, "&lt;=2024-12-31")</f>
        <v>6459442.9800000004</v>
      </c>
      <c r="F8" s="21" t="s">
        <v>2955</v>
      </c>
    </row>
    <row r="9" spans="1:6" ht="42" customHeight="1" x14ac:dyDescent="0.3">
      <c r="A9" s="16" t="s">
        <v>2984</v>
      </c>
      <c r="B9" s="17" t="s">
        <v>2985</v>
      </c>
      <c r="C9" s="18">
        <v>4</v>
      </c>
      <c r="D9" s="19" t="s">
        <v>2986</v>
      </c>
      <c r="E9" s="20" cm="1">
        <f t="array" ref="E9">SUMPRODUCT((Orders!K2:K2001="Delhi")*(Orders!Q2:Q2001)*(Orders!I2:I2001))/SUMIFS(Orders!I2:I2001, Orders!K2:K2001, "Delhi")</f>
        <v>0.46123054130793478</v>
      </c>
      <c r="F9" s="21" t="s">
        <v>2980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8" sqref="E8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3024</v>
      </c>
      <c r="B1" s="34"/>
      <c r="C1" s="34"/>
      <c r="D1" s="34"/>
      <c r="E1" s="34"/>
      <c r="F1" s="34"/>
    </row>
    <row r="2" spans="1:6" x14ac:dyDescent="0.3">
      <c r="A2" s="33" t="s">
        <v>2987</v>
      </c>
      <c r="B2" s="34"/>
      <c r="C2" s="34"/>
      <c r="D2" s="34"/>
      <c r="E2" s="34"/>
      <c r="F2" s="34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2988</v>
      </c>
      <c r="B5" s="17" t="s">
        <v>2989</v>
      </c>
      <c r="C5" s="18">
        <v>2</v>
      </c>
      <c r="D5" s="19" t="s">
        <v>2990</v>
      </c>
      <c r="E5" s="20" t="str">
        <f>INDEX(Sales_Reps!B2:B31, MATCH(7, Sales_Reps!G2:G31, 0))</f>
        <v>Amit Singh</v>
      </c>
      <c r="F5" s="21" t="s">
        <v>2911</v>
      </c>
    </row>
    <row r="6" spans="1:6" ht="42" customHeight="1" x14ac:dyDescent="0.3">
      <c r="A6" s="16" t="s">
        <v>2991</v>
      </c>
      <c r="B6" s="17" t="s">
        <v>2992</v>
      </c>
      <c r="C6" s="18">
        <v>2</v>
      </c>
      <c r="D6" s="19" t="s">
        <v>2993</v>
      </c>
      <c r="E6" s="20">
        <f>SUMIFS(Orders!I:I, Orders!B:B, "&lt;=2024-08-31")</f>
        <v>18050689.600000005</v>
      </c>
      <c r="F6" s="21" t="s">
        <v>2955</v>
      </c>
    </row>
    <row r="7" spans="1:6" ht="42" customHeight="1" x14ac:dyDescent="0.3">
      <c r="A7" s="16" t="s">
        <v>2994</v>
      </c>
      <c r="B7" s="17" t="s">
        <v>2995</v>
      </c>
      <c r="C7" s="18">
        <v>3</v>
      </c>
      <c r="D7" s="19" t="s">
        <v>2996</v>
      </c>
      <c r="E7" s="20" t="str" cm="1">
        <f t="array" ref="E7">INDEX(Products!B2:B101, MATCH(LARGE(SUMIFS(Orders!I:I, Orders!N:N, "West", Orders!D:D, Products!A2:A101), 2), SUMIFS(Orders!I:I, Orders!N:N, "West", Orders!D:D, Products!A2:A101), 0))</f>
        <v>Smart Watch</v>
      </c>
      <c r="F7" s="21" t="s">
        <v>2911</v>
      </c>
    </row>
    <row r="8" spans="1:6" ht="42" customHeight="1" x14ac:dyDescent="0.3">
      <c r="A8" s="16" t="s">
        <v>2997</v>
      </c>
      <c r="B8" s="17" t="s">
        <v>2998</v>
      </c>
      <c r="C8" s="18">
        <v>2</v>
      </c>
      <c r="D8" s="19" t="s">
        <v>2999</v>
      </c>
      <c r="E8" s="20" t="str" cm="1">
        <f t="array" ref="E8">_xlfn.TEXTJOIN(" | ", TRUE, INDEX(Sales_Reps!B2:B31, MATCH(LARGE(SUMIFS(Orders!I:I, Orders!E:E, Sales_Reps!A2:A31), {1,2,3,4,5}), SUMIFS(Orders!I:I, Orders!E:E, Sales_Reps!A2:A31), 0)))</f>
        <v>Neha Desai | Shalini Patel | Deepak Shah | Nisha Menon | Arun Iyer</v>
      </c>
      <c r="F8" s="21" t="s">
        <v>2911</v>
      </c>
    </row>
    <row r="9" spans="1:6" ht="42" customHeight="1" x14ac:dyDescent="0.3">
      <c r="A9" s="16" t="s">
        <v>3000</v>
      </c>
      <c r="B9" s="17" t="s">
        <v>3001</v>
      </c>
      <c r="C9" s="18">
        <v>1</v>
      </c>
      <c r="D9" s="19" t="s">
        <v>3002</v>
      </c>
      <c r="E9" s="20">
        <f>_xlfn.MAXIFS(Orders!I:I, Orders!K:K, "Bengaluru", Orders!L:L, "Grocery")</f>
        <v>22134</v>
      </c>
      <c r="F9" s="21" t="s">
        <v>2955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REVATI MUKRI</cp:lastModifiedBy>
  <dcterms:created xsi:type="dcterms:W3CDTF">2026-08-08T11:39:42Z</dcterms:created>
  <dcterms:modified xsi:type="dcterms:W3CDTF">2026-10-18T14:02:32Z</dcterms:modified>
</cp:coreProperties>
</file>